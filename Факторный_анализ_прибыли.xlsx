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harts/chart1.xml" ContentType="application/vnd.openxmlformats-officedocument.drawingml.chart+xml"/>
  <Override PartName="/xl/charts/chart10.xml" ContentType="application/vnd.openxmlformats-officedocument.drawingml.chart+xml"/>
  <Override PartName="/xl/charts/chart11.xml" ContentType="application/vnd.openxmlformats-officedocument.drawingml.chart+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charts/chart15.xml" ContentType="application/vnd.openxmlformats-officedocument.drawingml.chart+xml"/>
  <Override PartName="/xl/charts/chart16.xml" ContentType="application/vnd.openxmlformats-officedocument.drawingml.chart+xml"/>
  <Override PartName="/xl/charts/chart17.xml" ContentType="application/vnd.openxmlformats-officedocument.drawingml.chart+xml"/>
  <Override PartName="/xl/charts/chart18.xml" ContentType="application/vnd.openxmlformats-officedocument.drawingml.chart+xml"/>
  <Override PartName="/xl/charts/chart19.xml" ContentType="application/vnd.openxmlformats-officedocument.drawingml.chart+xml"/>
  <Override PartName="/xl/charts/chart2.xml" ContentType="application/vnd.openxmlformats-officedocument.drawingml.chart+xml"/>
  <Override PartName="/xl/charts/chart20.xml" ContentType="application/vnd.openxmlformats-officedocument.drawingml.chart+xml"/>
  <Override PartName="/xl/charts/chart21.xml" ContentType="application/vnd.openxmlformats-officedocument.drawingml.chart+xml"/>
  <Override PartName="/xl/charts/chart22.xml" ContentType="application/vnd.openxmlformats-officedocument.drawingml.chart+xml"/>
  <Override PartName="/xl/charts/chart23.xml" ContentType="application/vnd.openxmlformats-officedocument.drawingml.chart+xml"/>
  <Override PartName="/xl/charts/chart24.xml" ContentType="application/vnd.openxmlformats-officedocument.drawingml.chart+xml"/>
  <Override PartName="/xl/charts/chart25.xml" ContentType="application/vnd.openxmlformats-officedocument.drawingml.chart+xml"/>
  <Override PartName="/xl/charts/chart26.xml" ContentType="application/vnd.openxmlformats-officedocument.drawingml.chart+xml"/>
  <Override PartName="/xl/charts/chart27.xml" ContentType="application/vnd.openxmlformats-officedocument.drawingml.chart+xml"/>
  <Override PartName="/xl/charts/chart28.xml" ContentType="application/vnd.openxmlformats-officedocument.drawingml.chart+xml"/>
  <Override PartName="/xl/charts/chart29.xml" ContentType="application/vnd.openxmlformats-officedocument.drawingml.chart+xml"/>
  <Override PartName="/xl/charts/chart3.xml" ContentType="application/vnd.openxmlformats-officedocument.drawingml.chart+xml"/>
  <Override PartName="/xl/charts/chart30.xml" ContentType="application/vnd.openxmlformats-officedocument.drawingml.chart+xml"/>
  <Override PartName="/xl/charts/chart31.xml" ContentType="application/vnd.openxmlformats-officedocument.drawingml.chart+xml"/>
  <Override PartName="/xl/charts/chart32.xml" ContentType="application/vnd.openxmlformats-officedocument.drawingml.chart+xml"/>
  <Override PartName="/xl/charts/chart33.xml" ContentType="application/vnd.openxmlformats-officedocument.drawingml.chart+xml"/>
  <Override PartName="/xl/charts/chart34.xml" ContentType="application/vnd.openxmlformats-officedocument.drawingml.chart+xml"/>
  <Override PartName="/xl/charts/chart35.xml" ContentType="application/vnd.openxmlformats-officedocument.drawingml.chart+xml"/>
  <Override PartName="/xl/charts/chart36.xml" ContentType="application/vnd.openxmlformats-officedocument.drawingml.chart+xml"/>
  <Override PartName="/xl/charts/chart37.xml" ContentType="application/vnd.openxmlformats-officedocument.drawingml.chart+xml"/>
  <Override PartName="/xl/charts/chart38.xml" ContentType="application/vnd.openxmlformats-officedocument.drawingml.chart+xml"/>
  <Override PartName="/xl/charts/chart39.xml" ContentType="application/vnd.openxmlformats-officedocument.drawingml.chart+xml"/>
  <Override PartName="/xl/charts/chart4.xml" ContentType="application/vnd.openxmlformats-officedocument.drawingml.chart+xml"/>
  <Override PartName="/xl/charts/chart40.xml" ContentType="application/vnd.openxmlformats-officedocument.drawingml.chart+xml"/>
  <Override PartName="/xl/charts/chart41.xml" ContentType="application/vnd.openxmlformats-officedocument.drawingml.chart+xml"/>
  <Override PartName="/xl/charts/chart42.xml" ContentType="application/vnd.openxmlformats-officedocument.drawingml.chart+xml"/>
  <Override PartName="/xl/charts/chart43.xml" ContentType="application/vnd.openxmlformats-officedocument.drawingml.chart+xml"/>
  <Override PartName="/xl/charts/chart44.xml" ContentType="application/vnd.openxmlformats-officedocument.drawingml.chart+xml"/>
  <Override PartName="/xl/charts/chart45.xml" ContentType="application/vnd.openxmlformats-officedocument.drawingml.chart+xml"/>
  <Override PartName="/xl/charts/chart46.xml" ContentType="application/vnd.openxmlformats-officedocument.drawingml.chart+xml"/>
  <Override PartName="/xl/charts/chart47.xml" ContentType="application/vnd.openxmlformats-officedocument.drawingml.chart+xml"/>
  <Override PartName="/xl/charts/chart48.xml" ContentType="application/vnd.openxmlformats-officedocument.drawingml.chart+xml"/>
  <Override PartName="/xl/charts/chart49.xml" ContentType="application/vnd.openxmlformats-officedocument.drawingml.chart+xml"/>
  <Override PartName="/xl/charts/chart5.xml" ContentType="application/vnd.openxmlformats-officedocument.drawingml.chart+xml"/>
  <Override PartName="/xl/charts/chart50.xml" ContentType="application/vnd.openxmlformats-officedocument.drawingml.chart+xml"/>
  <Override PartName="/xl/charts/chart51.xml" ContentType="application/vnd.openxmlformats-officedocument.drawingml.chart+xml"/>
  <Override PartName="/xl/charts/chart52.xml" ContentType="application/vnd.openxmlformats-officedocument.drawingml.chart+xml"/>
  <Override PartName="/xl/charts/chart53.xml" ContentType="application/vnd.openxmlformats-officedocument.drawingml.chart+xml"/>
  <Override PartName="/xl/charts/chart54.xml" ContentType="application/vnd.openxmlformats-officedocument.drawingml.chart+xml"/>
  <Override PartName="/xl/charts/chart55.xml" ContentType="application/vnd.openxmlformats-officedocument.drawingml.chart+xml"/>
  <Override PartName="/xl/charts/chart56.xml" ContentType="application/vnd.openxmlformats-officedocument.drawingml.chart+xml"/>
  <Override PartName="/xl/charts/chart57.xml" ContentType="application/vnd.openxmlformats-officedocument.drawingml.chart+xml"/>
  <Override PartName="/xl/charts/chart58.xml" ContentType="application/vnd.openxmlformats-officedocument.drawingml.chart+xml"/>
  <Override PartName="/xl/charts/chart59.xml" ContentType="application/vnd.openxmlformats-officedocument.drawingml.chart+xml"/>
  <Override PartName="/xl/charts/chart6.xml" ContentType="application/vnd.openxmlformats-officedocument.drawingml.chart+xml"/>
  <Override PartName="/xl/charts/chart60.xml" ContentType="application/vnd.openxmlformats-officedocument.drawingml.chart+xml"/>
  <Override PartName="/xl/charts/chart61.xml" ContentType="application/vnd.openxmlformats-officedocument.drawingml.chart+xml"/>
  <Override PartName="/xl/charts/chart62.xml" ContentType="application/vnd.openxmlformats-officedocument.drawingml.chart+xml"/>
  <Override PartName="/xl/charts/chart63.xml" ContentType="application/vnd.openxmlformats-officedocument.drawingml.chart+xml"/>
  <Override PartName="/xl/charts/chart64.xml" ContentType="application/vnd.openxmlformats-officedocument.drawingml.chart+xml"/>
  <Override PartName="/xl/charts/chart65.xml" ContentType="application/vnd.openxmlformats-officedocument.drawingml.chart+xml"/>
  <Override PartName="/xl/charts/chart66.xml" ContentType="application/vnd.openxmlformats-officedocument.drawingml.chart+xml"/>
  <Override PartName="/xl/charts/chart67.xml" ContentType="application/vnd.openxmlformats-officedocument.drawingml.chart+xml"/>
  <Override PartName="/xl/charts/chart68.xml" ContentType="application/vnd.openxmlformats-officedocument.drawingml.chart+xml"/>
  <Override PartName="/xl/charts/chart69.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charts/chart9.xml" ContentType="application/vnd.openxmlformats-officedocument.drawingml.chart+xml"/>
  <Override PartName="/xl/charts/colors1.xml" ContentType="application/vnd.ms-office.chartcolorstyle+xml"/>
  <Override PartName="/xl/charts/colors2.xml" ContentType="application/vnd.ms-office.chartcolorstyle+xml"/>
  <Override PartName="/xl/charts/colors3.xml" ContentType="application/vnd.ms-office.chartcolorstyle+xml"/>
  <Override PartName="/xl/charts/style1.xml" ContentType="application/vnd.ms-office.chartstyle+xml"/>
  <Override PartName="/xl/charts/style2.xml" ContentType="application/vnd.ms-office.chartstyle+xml"/>
  <Override PartName="/xl/charts/style3.xml" ContentType="application/vnd.ms-office.chartstyle+xml"/>
  <Override PartName="/xl/drawings/drawing1.xml" ContentType="application/vnd.openxmlformats-officedocument.drawing+xml"/>
  <Override PartName="/xl/drawings/drawing10.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2188" windowHeight="9180"/>
  </bookViews>
  <sheets>
    <sheet name="О проекте" sheetId="35" r:id="rId1"/>
    <sheet name="Постановка задачи" sheetId="36" r:id="rId2"/>
    <sheet name="Выводы" sheetId="37" r:id="rId3"/>
    <sheet name="Исходные Данные 1" sheetId="2" r:id="rId4"/>
    <sheet name="Исходные данные 2" sheetId="9" r:id="rId5"/>
    <sheet name="Анализ данных 2" sheetId="21" r:id="rId6"/>
    <sheet name="Исходные данные 3" sheetId="11" r:id="rId7"/>
    <sheet name="Анализ данных 3" sheetId="22" r:id="rId8"/>
    <sheet name="Исходные данные 4" sheetId="23" r:id="rId9"/>
    <sheet name="Анализ данных 4" sheetId="24" r:id="rId10"/>
    <sheet name="Исходные данные 5" sheetId="25" r:id="rId11"/>
    <sheet name="Анализ данных 5" sheetId="26" r:id="rId12"/>
    <sheet name="Исходные данные 6" sheetId="17" r:id="rId13"/>
    <sheet name="Анализ данных 6" sheetId="27" r:id="rId14"/>
    <sheet name="Исходные данные 7" sheetId="28" r:id="rId15"/>
    <sheet name="Анализ данных 7" sheetId="29" r:id="rId16"/>
    <sheet name="Исходные данные 8" sheetId="30" r:id="rId17"/>
    <sheet name="Анализ данных 8" sheetId="31" r:id="rId18"/>
    <sheet name="Исходные данные 9" sheetId="32" r:id="rId19"/>
    <sheet name="Анализ данных 9" sheetId="34" r:id="rId20"/>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<sst xmlns="http://schemas.openxmlformats.org/spreadsheetml/2006/main" count="519" uniqueCount="120">
  <si>
    <t>Название проекта</t>
  </si>
  <si>
    <t>Факторный анализ прибыли предприятия в Excel</t>
  </si>
  <si>
    <t>Описание</t>
  </si>
  <si>
    <t>Проект посвящён анализу факторов, влияющих на прибыль предприятия, с использованием инструментов Microsoft Excel. В работе последовательно рассматриваются несколько регрессионных моделей, проводится отбор значимых факторов и выполняется сценарный анализ на основе итоговой модели.</t>
  </si>
  <si>
    <t>Цель проекта</t>
  </si>
  <si>
    <t>Определить факторы, оказывающие наибольшее влияние на прибыль предприятия, и получить интерпретируемую модель для оценки возможных сценариев развития.</t>
  </si>
  <si>
    <t>Инструмент</t>
  </si>
  <si>
    <t>Microsoft Excel</t>
  </si>
  <si>
    <t>Используемые методы</t>
  </si>
  <si>
    <t>Корреляционный анализ
Множественный регрессионный анализ
Последовательное исключение факторов
Анализ значимости коэффициентов
Сценарный анализ</t>
  </si>
  <si>
    <t>Практический результат</t>
  </si>
  <si>
    <t>По итогам анализа получена итоговая модель зависимости прибыли от ключевых факторов и рассмотрены сценарии, соответствующие зонам экономического роста и кризиса.</t>
  </si>
  <si>
    <t>Исследуемый показатель</t>
  </si>
  <si>
    <t>Прибыль предприятия</t>
  </si>
  <si>
    <t>Предполагаемые факторы</t>
  </si>
  <si>
    <t>Экономические показатели внутренней и внешней среды предприятия</t>
  </si>
  <si>
    <t>Задачи проекта</t>
  </si>
  <si>
    <t>1. Подготовить и структурировать исходные данные для анализа.
2. Построить регрессионные модели с различными наборами факторов.
3. Выполнить последовательное исключение статистически незначимых факторов.
4. Выделить итоговую интерпретируемую модель.
5. Оценить влияние ключевых факторов на прибыль предприятия.
6.Провести сценарный анализ для интерпретации возможных состояний предприятия.</t>
  </si>
  <si>
    <t>Основные выводы</t>
  </si>
  <si>
    <t>В ходе работы были последовательно рассмотрены несколько регрессионных моделей с различными наборами факторов, влияющих на прибыль предприятия. По результатам отбора значимых переменных итоговая модель была сведена к одному ключевому фактору — среднесписочной численности работников (X2).</t>
  </si>
  <si>
    <t>Итоговое уравнение регрессии имеет вид:</t>
  </si>
  <si>
    <t>Y = -2130,69 + 4,97 · X2</t>
  </si>
  <si>
    <t>Полученная модель показывает, что при увеличении среднесписочной численности работников на 1 человека прогнозное значение прибыли предприятия в среднем увеличивается примерно на 4,97 млн руб.</t>
  </si>
  <si>
    <t>Качество итоговой модели оказалось высоким:
множественный R = 0,984
R² = 0,968
нормированный R² = 0,967
стандартная ошибка = 35,67</t>
  </si>
  <si>
    <t>Это означает, что модель объясняет около 96,8% вариации прибыли.</t>
  </si>
  <si>
    <t>Фактор X2 является статистически значимым:
коэффициент при X2 = 4,9675
t-статистика = 28,97
p-value = 2,04 · 10⁻²²</t>
  </si>
  <si>
    <t>Так как p-value значительно меньше 0,05, влияние данного фактора на прибыль предприятия можно считать статистически подтверждённым.</t>
  </si>
  <si>
    <t>Для коэффициента при X2 был получен 95%-й доверительный интервал:
[4,616 ; 5,319]</t>
  </si>
  <si>
    <t>Поскольку весь интервал расположен в положительной области, это дополнительно подтверждает положительное влияние численности работников на прибыль предприятия.</t>
  </si>
  <si>
    <t>На этапе сценарного анализа были выделены границы экономического роста и кризиса.
По мягкому подходу границей служит среднее значение прибыли за рассматриваемый период:
171,06 млн руб.</t>
  </si>
  <si>
    <t>По жёсткому подходу границей служит максимальное наблюдавшееся значение прибыли:
406,62 млн руб.</t>
  </si>
  <si>
    <t>Таким образом, в рамках проведённого анализа именно среднесписочная численность работников оказалась ключевым фактором, связанным с изменением прибыли предприятия. Построенная модель показала высокое качество и может использоваться для интерпретации результатов и сценарной оценки состояния предприятия.</t>
  </si>
  <si>
    <t>Данные</t>
  </si>
  <si>
    <t>Номер месяца</t>
  </si>
  <si>
    <t>Прибыль, млн руб., Y</t>
  </si>
  <si>
    <t>Инвестиции в основной капитал, млн руб., X1</t>
  </si>
  <si>
    <t>Среднесписочная численность работников, чел., X2</t>
  </si>
  <si>
    <t>Стоимость основных производственных фондов, млн руб., X3</t>
  </si>
  <si>
    <t>Валовой доход, млн руб., X4</t>
  </si>
  <si>
    <t>Затраты на заработную плату, млн руб., X5</t>
  </si>
  <si>
    <t>Коммерческие расходы, млн руб., X6</t>
  </si>
  <si>
    <t>Прибыль конкурента, млн руб., X7</t>
  </si>
  <si>
    <t>Индекс рыночных цен, в разах, X8</t>
  </si>
  <si>
    <t>Уровень использования производственных мощностей, %, X9</t>
  </si>
  <si>
    <t>В качестве результативного показателя была выбрана прибыль</t>
  </si>
  <si>
    <t>В ходе анализа я буду исключать факторы поэтапно. Сначала из модели будут исключены те факторы, которые не объясняют зависимую переменную, затем, по коэффициенту корреляции, факторы, имеющие высокую корреляцию между собой, и на последнем этапе будут исключены статистически незначимые факторы, основываясь на их p-значениях и t-критериях.</t>
  </si>
  <si>
    <t>Прибыль = Валовый доход - Затраты на заработную плату</t>
  </si>
  <si>
    <t>Y = X4-X5</t>
  </si>
  <si>
    <t>Поскольку показатель прибыли определяется как разность валового дохода и затрат, факторы валового дохода и затрат на заработную плату находятся в строгой функциональной зависимости с результативным показателем. В связи с этим факторы не имеют независимого влияния на результат и мы можем исключить показатели X4 (валовый доход) и X5 (затраты на заработную плату) из модели.</t>
  </si>
  <si>
    <t>На предыдущем этапе мы исключили факторы, которые не объясняют зависимую переменную Y (X4 и X5), что позволило очистить модель от неадекватных данных. Теперь переходим к следующему этапу - устранению коррелирующих факторов из модели.</t>
  </si>
  <si>
    <t>На первом шаге устранения мультиколлинеарности максимальная парная корреляция наблюдается между факторами X1 и X7 (r=0,95). Так как фактор X7 "Прибыль конкурента" является статистически незначимым (p-значение &gt; 0,05) и внешним для результата, в отличие от более управляемого фактора X1 "Инвестиции в основной капитал", из модели был исключён фактор X7.</t>
  </si>
  <si>
    <t>ВЫВОД ИТОГОВ</t>
  </si>
  <si>
    <t>Регрессионная статистика</t>
  </si>
  <si>
    <t>Множественный R</t>
  </si>
  <si>
    <t>R-квадрат</t>
  </si>
  <si>
    <t>Нормированный R-квадрат</t>
  </si>
  <si>
    <t>Стандартная ошибка</t>
  </si>
  <si>
    <t>Наблюдения</t>
  </si>
  <si>
    <t>Дисперсионный анализ</t>
  </si>
  <si>
    <t>df</t>
  </si>
  <si>
    <t>SS</t>
  </si>
  <si>
    <t>MS</t>
  </si>
  <si>
    <t>F</t>
  </si>
  <si>
    <t>Значимость F</t>
  </si>
  <si>
    <t>Регрессия</t>
  </si>
  <si>
    <t>Остаток</t>
  </si>
  <si>
    <t>Итого</t>
  </si>
  <si>
    <t>Коэффициенты</t>
  </si>
  <si>
    <t>t-статистика</t>
  </si>
  <si>
    <t>P-Значение</t>
  </si>
  <si>
    <t>Нижние 95%</t>
  </si>
  <si>
    <t>Верхние 95%</t>
  </si>
  <si>
    <t>Нижние 95,0%</t>
  </si>
  <si>
    <t>Верхние 95,0%</t>
  </si>
  <si>
    <t>Y-пересечение</t>
  </si>
  <si>
    <t>ВЫВОД ОСТАТКА</t>
  </si>
  <si>
    <t>ВЫВОД ВЕРОЯТНОСТИ</t>
  </si>
  <si>
    <t>Наблюдение</t>
  </si>
  <si>
    <t>Предсказанное Прибыль, млн руб., Y</t>
  </si>
  <si>
    <t>Остатки</t>
  </si>
  <si>
    <t>Стандартные остатки</t>
  </si>
  <si>
    <t>Персентиль</t>
  </si>
  <si>
    <t>На втором шаге устранения мультиколлинеарности выявлена максимальная парная корреляция между факторами X1 и X6 (r = 0,91). Так как фактор X6 "Коммерческие расходы" более статистически незначим чем X1 "Инвестиции в основной капитал" (p-значение X6 &gt; p-значение X1 и |t-статистика X6| &lt; |t-статистика X1|), и фактор X1 является более управляемым чем X6, исключаем из модели фактор X6.</t>
  </si>
  <si>
    <t>На третьем шаге устранения мультиколлинеарности выявлена максимальная парная корреляция между факторами X1 и X2 (r = 0,91). Так как фактор X2 "Среднесписочная численность работников" более статистически значим чем X1 "инвестиции в основной капитал" (p-значение X1 &gt; p-значение X2 и |t-статистика X1| &lt; |t-статистика X2|), и фактор X2 является более управляемым чем X1, исключаем из модели фактор X1.</t>
  </si>
  <si>
    <t>На четвёртом шаге устранения мультиколлинеарности выявлена максимальная парная корреляция между факторами X8 и X9 (|r| = 0,9). Так как фактор X9 "Уровень использования производственных мощностей" более статистически значим чем X8 "Индекс рыночных цен в разах" (p-значение X8 &gt; p-значение X9 и |t-статистика X8| &lt; |t-статистика X9|), и фактор X9 является более управляемым чем X8, исключаем из модели фактор X8.</t>
  </si>
  <si>
    <t>В результате последовательного исключения факторов на основе матрицы парных коэффициентов корреляции были устранены проявления мультиколлинеарности. Для оставшихся факторов парные коэффициенты корреляции не превышают 0,7 по модулю, что говорит об отсутствии мультиколлинеарности.</t>
  </si>
  <si>
    <t>После устранения мультиколлинеарности, на следующем этапе, проводим исключение статистически незначимых факторов из модели. Исключение факторов будет основано на p-значениях, где значения p, превышающие 0,05, будут свидетельствовать о том, что фактор не имеет значимого влияния на результат.</t>
  </si>
  <si>
    <t>После построения регрессионной модели по факторам X2, X3 и X9 выявлено, что показатель "Стоимость основных производственных фондов" (X3) и "Уровень пользования производственных мощностей" (X9) являются статистически незанчимыми (p-значение &gt;0,05). Так как p-значение X3 &gt; p-значение X9 и |t-статистика X3| &lt; |t-статистика X9|, фактор X3 является более статистически незначимым, исключаем его из модели.</t>
  </si>
  <si>
    <t>После построения регрессионной модели по факторам X2 и X9 выявлено, что показатель "Уровень пользования производственных мощностей" (X9) является статистически незанчимым (p-значение &gt;0,05). В связи с этим, исключаем фактор X9 из модели.</t>
  </si>
  <si>
    <t>В ходе анализа были исключены все факторы, не имеющие независимого влияния на результат, а также коррелирующие и статистически незначимые факторы. В результате в модели остался только один статистически значимый фактор (p-значение &lt; 0,05) - X2 (Среднесписочная численность работников), который имеет наибольшее влияние на результативный показатель.</t>
  </si>
  <si>
    <t>Произведём перерасчет стоимостных показателей в постоянные цены.</t>
  </si>
  <si>
    <t>Исходные показатели</t>
  </si>
  <si>
    <t>Коэффициент перерасчёта в цены первого месяца</t>
  </si>
  <si>
    <t>Перерасчёт</t>
  </si>
  <si>
    <t>Построим графики всех признаков.</t>
  </si>
  <si>
    <t>Прогноз прибыли</t>
  </si>
  <si>
    <t>x</t>
  </si>
  <si>
    <t>Определим факторы кризиса на основе регрессионной модели.</t>
  </si>
  <si>
    <t>Посчитаем коэффициент регрессии через АД-регрессию с константой-ноль.</t>
  </si>
  <si>
    <t>w</t>
  </si>
  <si>
    <t>Уравнение регрессии</t>
  </si>
  <si>
    <t>Y = 0,866 * X2 + E</t>
  </si>
  <si>
    <t>Из уравнения регрессии определяем, что наибольшее влияние на кризисные процессы оказывает среднесписочная численность работников.</t>
  </si>
  <si>
    <t>Коэффициент корреляции равен 0,98, коэффициент детерминации равен 0,97, значимость F-критерия Фишера меньше 0,05. Это говорит о хорошем качестве модели.</t>
  </si>
  <si>
    <t>Определим сценарий развития предприятия.</t>
  </si>
  <si>
    <t>n</t>
  </si>
  <si>
    <t>Min(X2)</t>
  </si>
  <si>
    <t>Max(X2)</t>
  </si>
  <si>
    <t>Ширина шага вариативного ряда</t>
  </si>
  <si>
    <t>Мягкий подход</t>
  </si>
  <si>
    <t>Таблица сценариев</t>
  </si>
  <si>
    <t>X2</t>
  </si>
  <si>
    <t>Yпрогн</t>
  </si>
  <si>
    <t>Срзнач Прибыли</t>
  </si>
  <si>
    <t>Среднее значение прибыли за 30 месяцев составляет 171,056, млн. руб.</t>
  </si>
  <si>
    <t>Все значения Y в таблице сценариев, превышающие 171,056 млн руб. в соответствии с мягким подходом будут составлять зону экономического роста (закрашены синим в таблице), значения, не превышающие среднее значение прибыли, составляют зону экономического кризиса и отмечены в таблице оранжевым.</t>
  </si>
  <si>
    <t>Жёсткий подход</t>
  </si>
  <si>
    <t>Макс.знач. Прибыли</t>
  </si>
  <si>
    <t>Максимальное значение прибыли за 30 месяцев составляет 406,622 млн. руб.</t>
  </si>
  <si>
    <t>Все значения Y в таблице сценариев, превышающие 406,622 млн руб. в соответствии с жёстким подходом будут составлять зону экономического роста (закрашены синим в таблице), значения, не превышающие максимальное значение прибыли, составляют зону экономического кризиса и отмечены в таблице оранжевым.</t>
  </si>
</sst>
</file>

<file path=xl/styles.xml><?xml version="1.0" encoding="utf-8"?>
<styleSheet xmlns="http://schemas.openxmlformats.org/spreadsheetml/2006/main" xmlns:mc="http://schemas.openxmlformats.org/markup-compatibility/2006" xmlns:xr9="http://schemas.microsoft.com/office/spreadsheetml/2016/revision9" mc:Ignorable="xr9">
  <numFmts count="7">
    <numFmt numFmtId="176" formatCode="_-* #\.##0.00_-;\-* #\.##0.00_-;_-* &quot;-&quot;??_-;_-@_-"/>
    <numFmt numFmtId="177" formatCode="_-* #\.##0.00\ &quot;₽&quot;_-;\-* #\.##0.00\ &quot;₽&quot;_-;_-* \-??\ &quot;₽&quot;_-;_-@_-"/>
    <numFmt numFmtId="178" formatCode="_-* #\.##0_-;\-* #\.##0_-;_-* &quot;-&quot;_-;_-@_-"/>
    <numFmt numFmtId="179" formatCode="_-* #\.##0\ &quot;₽&quot;_-;\-* #\.##0\ &quot;₽&quot;_-;_-* \-\ &quot;₽&quot;_-;_-@_-"/>
    <numFmt numFmtId="180" formatCode="dd\.mm\.yyyy"/>
    <numFmt numFmtId="181" formatCode="dd\.mmm"/>
    <numFmt numFmtId="182" formatCode="mmm\.yy"/>
  </numFmts>
  <fonts count="29">
    <font>
      <sz val="11"/>
      <color theme="1"/>
      <name val="Calibri"/>
      <charset val="134"/>
      <scheme val="minor"/>
    </font>
    <font>
      <i/>
      <sz val="11"/>
      <color theme="1"/>
      <name val="Calibri"/>
      <charset val="204"/>
      <scheme val="minor"/>
    </font>
    <font>
      <sz val="11"/>
      <color theme="1"/>
      <name val="Calibri"/>
      <charset val="204"/>
      <scheme val="minor"/>
    </font>
    <font>
      <sz val="11"/>
      <color indexed="8"/>
      <name val="Calibri"/>
      <charset val="204"/>
    </font>
    <font>
      <sz val="11"/>
      <color indexed="8"/>
      <name val="Calibri"/>
      <charset val="204"/>
      <scheme val="minor"/>
    </font>
    <font>
      <sz val="11"/>
      <name val="Calibri"/>
      <charset val="204"/>
      <scheme val="minor"/>
    </font>
    <font>
      <b/>
      <sz val="11"/>
      <color theme="1"/>
      <name val="Calibri"/>
      <charset val="204"/>
      <scheme val="minor"/>
    </font>
    <font>
      <b/>
      <sz val="20"/>
      <color theme="1"/>
      <name val="Calibri"/>
      <charset val="134"/>
      <scheme val="minor"/>
    </font>
    <font>
      <b/>
      <sz val="11"/>
      <color theme="1"/>
      <name val="Calibri"/>
      <charset val="134"/>
      <scheme val="minor"/>
    </font>
    <font>
      <sz val="16"/>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44">
    <fill>
      <patternFill patternType="none"/>
    </fill>
    <fill>
      <patternFill patternType="gray125"/>
    </fill>
    <fill>
      <patternFill patternType="solid">
        <fgColor rgb="FFFFFF00"/>
        <bgColor indexed="64"/>
      </patternFill>
    </fill>
    <fill>
      <patternFill patternType="solid">
        <fgColor rgb="FF0070C0"/>
        <bgColor indexed="64"/>
      </patternFill>
    </fill>
    <fill>
      <patternFill patternType="solid">
        <fgColor rgb="FF00B050"/>
        <bgColor indexed="64"/>
      </patternFill>
    </fill>
    <fill>
      <patternFill patternType="solid">
        <fgColor rgb="FFFFC000"/>
        <bgColor indexed="64"/>
      </patternFill>
    </fill>
    <fill>
      <patternFill patternType="solid">
        <fgColor theme="9" tint="0.399975585192419"/>
        <bgColor indexed="64"/>
      </patternFill>
    </fill>
    <fill>
      <patternFill patternType="solid">
        <fgColor theme="5" tint="0.599993896298105"/>
        <bgColor indexed="64"/>
      </patternFill>
    </fill>
    <fill>
      <patternFill patternType="solid">
        <fgColor theme="9" tint="0.399945066682943"/>
        <bgColor indexed="64"/>
      </patternFill>
    </fill>
    <fill>
      <patternFill patternType="solid">
        <fgColor theme="5" tint="0.399975585192419"/>
        <bgColor indexed="64"/>
      </patternFill>
    </fill>
    <fill>
      <patternFill patternType="solid">
        <fgColor rgb="FF00B0F0"/>
        <bgColor indexed="64"/>
      </patternFill>
    </fill>
    <fill>
      <patternFill patternType="solid">
        <fgColor theme="8"/>
        <bgColor indexed="64"/>
      </patternFill>
    </fill>
    <fill>
      <patternFill patternType="solid">
        <fgColor theme="8" tint="0.6"/>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5">
    <border>
      <left/>
      <right/>
      <top/>
      <bottom/>
      <diagonal/>
    </border>
    <border>
      <left/>
      <right/>
      <top style="medium">
        <color auto="1"/>
      </top>
      <bottom style="thin">
        <color auto="1"/>
      </bottom>
      <diagonal/>
    </border>
    <border>
      <left/>
      <right/>
      <top/>
      <bottom style="medium">
        <color auto="1"/>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0" fillId="0" borderId="0" applyFont="0" applyFill="0" applyBorder="0" applyAlignment="0" applyProtection="0">
      <alignment vertical="center"/>
    </xf>
    <xf numFmtId="177" fontId="0" fillId="0" borderId="0" applyFont="0" applyFill="0" applyBorder="0" applyAlignment="0" applyProtection="0">
      <alignment vertical="center"/>
    </xf>
    <xf numFmtId="9" fontId="0" fillId="0" borderId="0" applyFont="0" applyFill="0" applyBorder="0" applyAlignment="0" applyProtection="0">
      <alignment vertical="center"/>
    </xf>
    <xf numFmtId="178" fontId="0" fillId="0" borderId="0" applyFont="0" applyFill="0" applyBorder="0" applyAlignment="0" applyProtection="0">
      <alignment vertical="center"/>
    </xf>
    <xf numFmtId="179" fontId="0" fillId="0" borderId="0" applyFon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0" fillId="13" borderId="7" applyNumberFormat="0" applyFont="0" applyAlignment="0" applyProtection="0">
      <alignment vertical="center"/>
    </xf>
    <xf numFmtId="0" fontId="12"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5" fillId="0" borderId="8" applyNumberFormat="0" applyFill="0" applyAlignment="0" applyProtection="0">
      <alignment vertical="center"/>
    </xf>
    <xf numFmtId="0" fontId="16" fillId="0" borderId="8" applyNumberFormat="0" applyFill="0" applyAlignment="0" applyProtection="0">
      <alignment vertical="center"/>
    </xf>
    <xf numFmtId="0" fontId="17" fillId="0" borderId="9" applyNumberFormat="0" applyFill="0" applyAlignment="0" applyProtection="0">
      <alignment vertical="center"/>
    </xf>
    <xf numFmtId="0" fontId="17" fillId="0" borderId="0" applyNumberFormat="0" applyFill="0" applyBorder="0" applyAlignment="0" applyProtection="0">
      <alignment vertical="center"/>
    </xf>
    <xf numFmtId="0" fontId="18" fillId="14" borderId="10" applyNumberFormat="0" applyAlignment="0" applyProtection="0">
      <alignment vertical="center"/>
    </xf>
    <xf numFmtId="0" fontId="19" fillId="15" borderId="11" applyNumberFormat="0" applyAlignment="0" applyProtection="0">
      <alignment vertical="center"/>
    </xf>
    <xf numFmtId="0" fontId="20" fillId="15" borderId="10" applyNumberFormat="0" applyAlignment="0" applyProtection="0">
      <alignment vertical="center"/>
    </xf>
    <xf numFmtId="0" fontId="21" fillId="16" borderId="12" applyNumberFormat="0" applyAlignment="0" applyProtection="0">
      <alignment vertical="center"/>
    </xf>
    <xf numFmtId="0" fontId="22" fillId="0" borderId="13" applyNumberFormat="0" applyFill="0" applyAlignment="0" applyProtection="0">
      <alignment vertical="center"/>
    </xf>
    <xf numFmtId="0" fontId="23" fillId="0" borderId="14" applyNumberFormat="0" applyFill="0" applyAlignment="0" applyProtection="0">
      <alignment vertical="center"/>
    </xf>
    <xf numFmtId="0" fontId="24" fillId="17" borderId="0" applyNumberFormat="0" applyBorder="0" applyAlignment="0" applyProtection="0">
      <alignment vertical="center"/>
    </xf>
    <xf numFmtId="0" fontId="25" fillId="18" borderId="0" applyNumberFormat="0" applyBorder="0" applyAlignment="0" applyProtection="0">
      <alignment vertical="center"/>
    </xf>
    <xf numFmtId="0" fontId="26" fillId="19" borderId="0" applyNumberFormat="0" applyBorder="0" applyAlignment="0" applyProtection="0">
      <alignment vertical="center"/>
    </xf>
    <xf numFmtId="0" fontId="27" fillId="20" borderId="0" applyNumberFormat="0" applyBorder="0" applyAlignment="0" applyProtection="0">
      <alignment vertical="center"/>
    </xf>
    <xf numFmtId="0" fontId="28" fillId="21" borderId="0" applyNumberFormat="0" applyBorder="0" applyAlignment="0" applyProtection="0">
      <alignment vertical="center"/>
    </xf>
    <xf numFmtId="0" fontId="28" fillId="22" borderId="0" applyNumberFormat="0" applyBorder="0" applyAlignment="0" applyProtection="0">
      <alignment vertical="center"/>
    </xf>
    <xf numFmtId="0" fontId="27" fillId="23" borderId="0" applyNumberFormat="0" applyBorder="0" applyAlignment="0" applyProtection="0">
      <alignment vertical="center"/>
    </xf>
    <xf numFmtId="0" fontId="27" fillId="24" borderId="0" applyNumberFormat="0" applyBorder="0" applyAlignment="0" applyProtection="0">
      <alignment vertical="center"/>
    </xf>
    <xf numFmtId="0" fontId="28" fillId="25" borderId="0" applyNumberFormat="0" applyBorder="0" applyAlignment="0" applyProtection="0">
      <alignment vertical="center"/>
    </xf>
    <xf numFmtId="0" fontId="28" fillId="26" borderId="0" applyNumberFormat="0" applyBorder="0" applyAlignment="0" applyProtection="0">
      <alignment vertical="center"/>
    </xf>
    <xf numFmtId="0" fontId="27" fillId="27" borderId="0" applyNumberFormat="0" applyBorder="0" applyAlignment="0" applyProtection="0">
      <alignment vertical="center"/>
    </xf>
    <xf numFmtId="0" fontId="27" fillId="28" borderId="0" applyNumberFormat="0" applyBorder="0" applyAlignment="0" applyProtection="0">
      <alignment vertical="center"/>
    </xf>
    <xf numFmtId="0" fontId="28" fillId="29" borderId="0" applyNumberFormat="0" applyBorder="0" applyAlignment="0" applyProtection="0">
      <alignment vertical="center"/>
    </xf>
    <xf numFmtId="0" fontId="28" fillId="30" borderId="0" applyNumberFormat="0" applyBorder="0" applyAlignment="0" applyProtection="0">
      <alignment vertical="center"/>
    </xf>
    <xf numFmtId="0" fontId="27" fillId="31" borderId="0" applyNumberFormat="0" applyBorder="0" applyAlignment="0" applyProtection="0">
      <alignment vertical="center"/>
    </xf>
    <xf numFmtId="0" fontId="27" fillId="32" borderId="0" applyNumberFormat="0" applyBorder="0" applyAlignment="0" applyProtection="0">
      <alignment vertical="center"/>
    </xf>
    <xf numFmtId="0" fontId="28" fillId="33" borderId="0" applyNumberFormat="0" applyBorder="0" applyAlignment="0" applyProtection="0">
      <alignment vertical="center"/>
    </xf>
    <xf numFmtId="0" fontId="28" fillId="34" borderId="0" applyNumberFormat="0" applyBorder="0" applyAlignment="0" applyProtection="0">
      <alignment vertical="center"/>
    </xf>
    <xf numFmtId="0" fontId="27" fillId="35" borderId="0" applyNumberFormat="0" applyBorder="0" applyAlignment="0" applyProtection="0">
      <alignment vertical="center"/>
    </xf>
    <xf numFmtId="0" fontId="27" fillId="36" borderId="0" applyNumberFormat="0" applyBorder="0" applyAlignment="0" applyProtection="0">
      <alignment vertical="center"/>
    </xf>
    <xf numFmtId="0" fontId="28" fillId="37" borderId="0" applyNumberFormat="0" applyBorder="0" applyAlignment="0" applyProtection="0">
      <alignment vertical="center"/>
    </xf>
    <xf numFmtId="0" fontId="28" fillId="38" borderId="0" applyNumberFormat="0" applyBorder="0" applyAlignment="0" applyProtection="0">
      <alignment vertical="center"/>
    </xf>
    <xf numFmtId="0" fontId="27" fillId="39" borderId="0" applyNumberFormat="0" applyBorder="0" applyAlignment="0" applyProtection="0">
      <alignment vertical="center"/>
    </xf>
    <xf numFmtId="0" fontId="27" fillId="40" borderId="0" applyNumberFormat="0" applyBorder="0" applyAlignment="0" applyProtection="0">
      <alignment vertical="center"/>
    </xf>
    <xf numFmtId="0" fontId="28" fillId="41" borderId="0" applyNumberFormat="0" applyBorder="0" applyAlignment="0" applyProtection="0">
      <alignment vertical="center"/>
    </xf>
    <xf numFmtId="0" fontId="28" fillId="42" borderId="0" applyNumberFormat="0" applyBorder="0" applyAlignment="0" applyProtection="0">
      <alignment vertical="center"/>
    </xf>
    <xf numFmtId="0" fontId="27" fillId="43" borderId="0" applyNumberFormat="0" applyBorder="0" applyAlignment="0" applyProtection="0">
      <alignment vertical="center"/>
    </xf>
  </cellStyleXfs>
  <cellXfs count="74">
    <xf numFmtId="0" fontId="0" fillId="0" borderId="0" xfId="0"/>
    <xf numFmtId="0" fontId="1" fillId="0" borderId="1" xfId="0" applyFont="1" applyFill="1" applyBorder="1" applyAlignment="1">
      <alignment horizontal="centerContinuous"/>
    </xf>
    <xf numFmtId="0" fontId="0" fillId="0" borderId="0" xfId="0" applyFill="1" applyBorder="1" applyAlignment="1"/>
    <xf numFmtId="0" fontId="0" fillId="0" borderId="2" xfId="0" applyFill="1" applyBorder="1" applyAlignment="1"/>
    <xf numFmtId="0" fontId="1" fillId="0" borderId="1" xfId="0" applyFont="1" applyFill="1" applyBorder="1" applyAlignment="1">
      <alignment horizontal="center"/>
    </xf>
    <xf numFmtId="0" fontId="0" fillId="2" borderId="3" xfId="0" applyFill="1" applyBorder="1" applyAlignment="1">
      <alignment horizontal="center" vertical="center" wrapText="1"/>
    </xf>
    <xf numFmtId="0" fontId="2" fillId="2" borderId="3" xfId="0" applyFont="1" applyFill="1" applyBorder="1" applyAlignment="1">
      <alignment horizontal="center" vertical="center" wrapText="1"/>
    </xf>
    <xf numFmtId="0" fontId="0" fillId="0" borderId="3" xfId="0" applyBorder="1" applyAlignment="1">
      <alignment horizontal="center" vertical="center"/>
    </xf>
    <xf numFmtId="0" fontId="3" fillId="0" borderId="0" xfId="0" applyNumberFormat="1" applyFont="1" applyFill="1" applyBorder="1" applyAlignment="1" applyProtection="1"/>
    <xf numFmtId="0" fontId="3" fillId="0" borderId="0" xfId="0" applyNumberFormat="1" applyFont="1" applyFill="1" applyBorder="1" applyAlignment="1" applyProtection="1">
      <alignment horizontal="center" vertical="center"/>
    </xf>
    <xf numFmtId="0" fontId="0" fillId="0" borderId="0" xfId="0" applyBorder="1" applyAlignment="1">
      <alignment horizontal="center" vertical="center"/>
    </xf>
    <xf numFmtId="180" fontId="3" fillId="0" borderId="0" xfId="0" applyNumberFormat="1" applyFont="1" applyFill="1" applyBorder="1" applyAlignment="1" applyProtection="1">
      <alignment horizontal="center" vertical="center"/>
    </xf>
    <xf numFmtId="0" fontId="2" fillId="3" borderId="0" xfId="0" applyFont="1" applyFill="1" applyAlignment="1">
      <alignment horizontal="center" vertical="center"/>
    </xf>
    <xf numFmtId="0" fontId="2" fillId="2" borderId="3" xfId="0" applyFont="1" applyFill="1" applyBorder="1" applyAlignment="1">
      <alignment horizontal="center" vertical="center"/>
    </xf>
    <xf numFmtId="0" fontId="2" fillId="0" borderId="0" xfId="0" applyFont="1"/>
    <xf numFmtId="0" fontId="2" fillId="3" borderId="0" xfId="0" applyFont="1" applyFill="1" applyAlignment="1">
      <alignment horizontal="center"/>
    </xf>
    <xf numFmtId="0" fontId="4" fillId="0" borderId="0" xfId="0" applyNumberFormat="1" applyFont="1" applyFill="1" applyBorder="1" applyAlignment="1" applyProtection="1">
      <alignment horizontal="left" vertical="center" wrapText="1"/>
    </xf>
    <xf numFmtId="0" fontId="2" fillId="2" borderId="4" xfId="0" applyFont="1" applyFill="1" applyBorder="1" applyAlignment="1">
      <alignment horizontal="center" vertical="center"/>
    </xf>
    <xf numFmtId="0" fontId="2" fillId="2" borderId="5" xfId="0" applyFont="1" applyFill="1" applyBorder="1" applyAlignment="1">
      <alignment horizontal="center" vertical="center"/>
    </xf>
    <xf numFmtId="0" fontId="2" fillId="0" borderId="4" xfId="0" applyFont="1" applyBorder="1" applyAlignment="1">
      <alignment horizontal="center" vertical="center"/>
    </xf>
    <xf numFmtId="0" fontId="2" fillId="0" borderId="5" xfId="0" applyFont="1" applyBorder="1" applyAlignment="1">
      <alignment horizontal="center" vertical="center"/>
    </xf>
    <xf numFmtId="0" fontId="5" fillId="4" borderId="0" xfId="0" applyFont="1" applyFill="1" applyAlignment="1">
      <alignment horizontal="center" vertical="center" wrapText="1"/>
    </xf>
    <xf numFmtId="0" fontId="0" fillId="4" borderId="0" xfId="0" applyFill="1" applyAlignment="1">
      <alignment horizontal="center" vertical="center" wrapText="1"/>
    </xf>
    <xf numFmtId="0" fontId="2" fillId="0" borderId="3" xfId="0" applyFont="1" applyBorder="1" applyAlignment="1">
      <alignment horizontal="center" vertical="center"/>
    </xf>
    <xf numFmtId="0" fontId="2" fillId="0" borderId="3" xfId="0" applyFont="1" applyBorder="1" applyAlignment="1">
      <alignment horizontal="center" vertical="center" wrapText="1"/>
    </xf>
    <xf numFmtId="0" fontId="0" fillId="2" borderId="6" xfId="0" applyFill="1" applyBorder="1" applyAlignment="1">
      <alignment horizontal="center" vertical="center"/>
    </xf>
    <xf numFmtId="0" fontId="0" fillId="2" borderId="5" xfId="0" applyFill="1" applyBorder="1" applyAlignment="1">
      <alignment horizontal="center" vertical="center"/>
    </xf>
    <xf numFmtId="0" fontId="0" fillId="2" borderId="4" xfId="0" applyFill="1" applyBorder="1" applyAlignment="1">
      <alignment horizontal="center" vertical="center"/>
    </xf>
    <xf numFmtId="0" fontId="2" fillId="4" borderId="0" xfId="0" applyFont="1" applyFill="1" applyAlignment="1">
      <alignment horizontal="center" vertical="center" wrapText="1"/>
    </xf>
    <xf numFmtId="0" fontId="0" fillId="0" borderId="3" xfId="0" applyFill="1" applyBorder="1" applyAlignment="1">
      <alignment horizontal="center" vertical="center"/>
    </xf>
    <xf numFmtId="0" fontId="0" fillId="5" borderId="2" xfId="0" applyFill="1" applyBorder="1" applyAlignment="1"/>
    <xf numFmtId="0" fontId="2" fillId="6" borderId="3" xfId="0" applyFont="1" applyFill="1" applyBorder="1" applyAlignment="1">
      <alignment horizontal="center" vertical="center" wrapText="1"/>
    </xf>
    <xf numFmtId="0" fontId="0" fillId="7" borderId="0" xfId="0" applyFill="1" applyBorder="1" applyAlignment="1"/>
    <xf numFmtId="0" fontId="2" fillId="8" borderId="3" xfId="0" applyFont="1" applyFill="1" applyBorder="1" applyAlignment="1">
      <alignment horizontal="center" vertical="center" wrapText="1"/>
    </xf>
    <xf numFmtId="0" fontId="0" fillId="0" borderId="0" xfId="0" applyFill="1" applyBorder="1"/>
    <xf numFmtId="0" fontId="2" fillId="0" borderId="0" xfId="0" applyFont="1" applyFill="1" applyBorder="1" applyAlignment="1">
      <alignment horizontal="center" vertical="center" wrapText="1"/>
    </xf>
    <xf numFmtId="0" fontId="0" fillId="0" borderId="0" xfId="0" applyFill="1" applyBorder="1" applyAlignment="1">
      <alignment horizontal="center" vertical="center"/>
    </xf>
    <xf numFmtId="0" fontId="0" fillId="9" borderId="0" xfId="0" applyFill="1" applyBorder="1" applyAlignment="1"/>
    <xf numFmtId="0" fontId="0" fillId="9" borderId="2" xfId="0" applyFill="1" applyBorder="1" applyAlignment="1"/>
    <xf numFmtId="0" fontId="0" fillId="0" borderId="0" xfId="0" applyAlignment="1">
      <alignment horizontal="center" vertical="center"/>
    </xf>
    <xf numFmtId="0" fontId="0" fillId="2" borderId="3" xfId="0" applyFill="1" applyBorder="1" applyAlignment="1">
      <alignment horizontal="center" vertical="center" wrapText="1"/>
    </xf>
    <xf numFmtId="0" fontId="0" fillId="0" borderId="0" xfId="0" applyAlignment="1">
      <alignment horizontal="center" vertical="center" wrapText="1"/>
    </xf>
    <xf numFmtId="0" fontId="2" fillId="10" borderId="0" xfId="0" applyFont="1" applyFill="1" applyAlignment="1">
      <alignment horizontal="center" vertical="center" wrapText="1"/>
    </xf>
    <xf numFmtId="181" fontId="0" fillId="0" borderId="0" xfId="0" applyNumberFormat="1" applyAlignment="1">
      <alignment horizontal="center" vertical="center"/>
    </xf>
    <xf numFmtId="182" fontId="0" fillId="0" borderId="0" xfId="0" applyNumberFormat="1" applyAlignment="1">
      <alignment horizontal="center" vertical="center"/>
    </xf>
    <xf numFmtId="0" fontId="1" fillId="0" borderId="0" xfId="0" applyFont="1" applyFill="1" applyBorder="1" applyAlignment="1">
      <alignment horizontal="center"/>
    </xf>
    <xf numFmtId="0" fontId="6" fillId="0" borderId="0" xfId="0" applyFont="1" applyFill="1" applyBorder="1" applyAlignment="1"/>
    <xf numFmtId="0" fontId="2" fillId="4" borderId="0" xfId="0" applyFont="1" applyFill="1" applyBorder="1" applyAlignment="1"/>
    <xf numFmtId="0" fontId="7" fillId="11" borderId="0" xfId="0" applyFont="1" applyFill="1" applyAlignment="1">
      <alignment horizontal="center" vertical="center" wrapText="1"/>
    </xf>
    <xf numFmtId="0" fontId="7" fillId="11" borderId="0" xfId="0" applyFont="1" applyFill="1" applyAlignment="1">
      <alignment horizontal="center" vertical="center" wrapText="1"/>
    </xf>
    <xf numFmtId="0" fontId="0" fillId="12" borderId="0" xfId="0" applyFont="1" applyFill="1" applyAlignment="1">
      <alignment horizontal="center" vertical="center" wrapText="1"/>
    </xf>
    <xf numFmtId="0" fontId="0" fillId="12" borderId="0" xfId="0" applyFont="1" applyFill="1" applyAlignment="1">
      <alignment horizontal="center" vertical="center" wrapText="1"/>
    </xf>
    <xf numFmtId="0" fontId="0" fillId="12" borderId="0" xfId="0" applyFill="1" applyAlignment="1">
      <alignment horizontal="center" vertical="center" wrapText="1"/>
    </xf>
    <xf numFmtId="0" fontId="8" fillId="12" borderId="0" xfId="0" applyFont="1" applyFill="1" applyAlignment="1">
      <alignment horizontal="center" vertical="center" wrapText="1"/>
    </xf>
    <xf numFmtId="0" fontId="8" fillId="12" borderId="0" xfId="0" applyFont="1" applyFill="1" applyAlignment="1">
      <alignment horizontal="center" vertical="center" wrapText="1"/>
    </xf>
    <xf numFmtId="0" fontId="0" fillId="12" borderId="0" xfId="0" applyFont="1" applyFill="1" applyAlignment="1">
      <alignment horizontal="center" wrapText="1"/>
    </xf>
    <xf numFmtId="0" fontId="0" fillId="12" borderId="0" xfId="0" applyFont="1" applyFill="1" applyAlignment="1">
      <alignment horizontal="center" wrapText="1"/>
    </xf>
    <xf numFmtId="0" fontId="0" fillId="12" borderId="0" xfId="0" applyFill="1" applyAlignment="1">
      <alignment horizontal="center" vertical="center"/>
    </xf>
    <xf numFmtId="0" fontId="0" fillId="0" borderId="0" xfId="0" applyFill="1" applyAlignment="1">
      <alignment vertical="center" wrapText="1"/>
    </xf>
    <xf numFmtId="0" fontId="8" fillId="0" borderId="0" xfId="0" applyFont="1" applyFill="1" applyAlignment="1">
      <alignment vertical="center" wrapText="1"/>
    </xf>
    <xf numFmtId="0" fontId="8" fillId="11" borderId="0" xfId="0" applyFont="1" applyFill="1" applyAlignment="1">
      <alignment horizontal="center" vertical="center"/>
    </xf>
    <xf numFmtId="0" fontId="8" fillId="11" borderId="0" xfId="0" applyFont="1" applyFill="1" applyAlignment="1">
      <alignment horizontal="center" vertical="center"/>
    </xf>
    <xf numFmtId="0" fontId="8" fillId="11" borderId="0" xfId="0" applyFont="1" applyFill="1" applyAlignment="1">
      <alignment horizontal="center" vertical="center" wrapText="1"/>
    </xf>
    <xf numFmtId="0" fontId="8" fillId="11" borderId="0" xfId="0" applyFont="1" applyFill="1" applyAlignment="1">
      <alignment horizontal="center" vertical="center" wrapText="1"/>
    </xf>
    <xf numFmtId="0" fontId="0" fillId="0" borderId="0" xfId="0" applyAlignment="1">
      <alignment vertical="center"/>
    </xf>
    <xf numFmtId="0" fontId="0" fillId="0" borderId="0" xfId="0" applyFill="1" applyAlignment="1">
      <alignment vertical="center"/>
    </xf>
    <xf numFmtId="0" fontId="8" fillId="11" borderId="3" xfId="0" applyFont="1" applyFill="1" applyBorder="1" applyAlignment="1">
      <alignment horizontal="center" vertical="center" wrapText="1"/>
    </xf>
    <xf numFmtId="0" fontId="8" fillId="11" borderId="3" xfId="0" applyFont="1" applyFill="1" applyBorder="1" applyAlignment="1">
      <alignment horizontal="center" vertical="center" wrapText="1"/>
    </xf>
    <xf numFmtId="0" fontId="9" fillId="12" borderId="3" xfId="0" applyFont="1" applyFill="1" applyBorder="1" applyAlignment="1">
      <alignment horizontal="center" vertical="center"/>
    </xf>
    <xf numFmtId="0" fontId="9" fillId="12" borderId="3" xfId="0" applyFont="1" applyFill="1" applyBorder="1" applyAlignment="1">
      <alignment horizontal="center" vertical="center"/>
    </xf>
    <xf numFmtId="0" fontId="8" fillId="11" borderId="3" xfId="0" applyFont="1" applyFill="1" applyBorder="1" applyAlignment="1">
      <alignment horizontal="center" vertical="center" wrapText="1"/>
    </xf>
    <xf numFmtId="0" fontId="0" fillId="12" borderId="3" xfId="0" applyFill="1" applyBorder="1" applyAlignment="1">
      <alignment horizontal="center" vertical="center" wrapText="1"/>
    </xf>
    <xf numFmtId="0" fontId="8" fillId="11" borderId="3" xfId="0" applyFont="1" applyFill="1" applyBorder="1" applyAlignment="1">
      <alignment horizontal="center" vertical="center"/>
    </xf>
    <xf numFmtId="0" fontId="8" fillId="11" borderId="3" xfId="0" applyFont="1" applyFill="1" applyBorder="1" applyAlignment="1">
      <alignment horizontal="center" vertical="center"/>
    </xf>
  </cellXfs>
  <cellStyles count="49">
    <cellStyle name="Обычный" xfId="0" builtinId="0"/>
    <cellStyle name="Запятая" xfId="1" builtinId="3"/>
    <cellStyle name="Денежный" xfId="2" builtinId="4"/>
    <cellStyle name="Процент" xfId="3" builtinId="5"/>
    <cellStyle name="Запятая [0]" xfId="4" builtinId="6"/>
    <cellStyle name="Денежный [0]" xfId="5" builtinId="7"/>
    <cellStyle name="Гиперссылка" xfId="6" builtinId="8"/>
    <cellStyle name="Открывавшаяся гиперссылка" xfId="7" builtinId="9"/>
    <cellStyle name="Примечание" xfId="8" builtinId="10"/>
    <cellStyle name="Предупреждающий текст" xfId="9" builtinId="11"/>
    <cellStyle name="Заголовок" xfId="10" builtinId="15"/>
    <cellStyle name="Пояснительный текст" xfId="11" builtinId="53"/>
    <cellStyle name="Заголовок 1" xfId="12" builtinId="16"/>
    <cellStyle name="Заголовок 2" xfId="13" builtinId="17"/>
    <cellStyle name="Заголовок 3" xfId="14" builtinId="18"/>
    <cellStyle name="Заголовок 4" xfId="15" builtinId="19"/>
    <cellStyle name="Ввод" xfId="16" builtinId="20"/>
    <cellStyle name="Вывод" xfId="17" builtinId="21"/>
    <cellStyle name="Вычисление" xfId="18" builtinId="22"/>
    <cellStyle name="Проверить ячейку" xfId="19" builtinId="23"/>
    <cellStyle name="Связанная ячейка" xfId="20" builtinId="24"/>
    <cellStyle name="Итого" xfId="21" builtinId="25"/>
    <cellStyle name="Хороший" xfId="22" builtinId="26"/>
    <cellStyle name="Плохой" xfId="23" builtinId="27"/>
    <cellStyle name="Нейтральный" xfId="24" builtinId="28"/>
    <cellStyle name="Акцент1" xfId="25" builtinId="29"/>
    <cellStyle name="20% — Акцент1" xfId="26" builtinId="30"/>
    <cellStyle name="40% — Акцент1" xfId="27" builtinId="31"/>
    <cellStyle name="60% — Акцент1" xfId="28" builtinId="32"/>
    <cellStyle name="Акцент2" xfId="29" builtinId="33"/>
    <cellStyle name="20% — Акцент2" xfId="30" builtinId="34"/>
    <cellStyle name="40% — Акцент2" xfId="31" builtinId="35"/>
    <cellStyle name="60% — Акцент2" xfId="32" builtinId="36"/>
    <cellStyle name="Акцент3" xfId="33" builtinId="37"/>
    <cellStyle name="20% — Акцент3" xfId="34" builtinId="38"/>
    <cellStyle name="40% — Акцент3" xfId="35" builtinId="39"/>
    <cellStyle name="60% — Акцент3" xfId="36" builtinId="40"/>
    <cellStyle name="Акцент4" xfId="37" builtinId="41"/>
    <cellStyle name="20% — Акцент4" xfId="38" builtinId="42"/>
    <cellStyle name="40% — Акцент4" xfId="39" builtinId="43"/>
    <cellStyle name="60% — Акцент4" xfId="40" builtinId="44"/>
    <cellStyle name="Акцент5" xfId="41" builtinId="45"/>
    <cellStyle name="20% — Акцент5" xfId="42" builtinId="46"/>
    <cellStyle name="40% — Акцент5" xfId="43" builtinId="47"/>
    <cellStyle name="60% — Акцент5" xfId="44" builtinId="48"/>
    <cellStyle name="Акцент6" xfId="45" builtinId="49"/>
    <cellStyle name="20% — Акцент6" xfId="46" builtinId="50"/>
    <cellStyle name="40% — Акцент6" xfId="47" builtinId="51"/>
    <cellStyle name="60% — Акцент6" xfId="48" builtinId="52"/>
  </cellStyles>
  <dxfs count="3">
    <dxf>
      <fill>
        <patternFill patternType="solid">
          <bgColor theme="8" tint="0.399914548173467"/>
        </patternFill>
      </fill>
    </dxf>
    <dxf>
      <fill>
        <patternFill patternType="solid">
          <bgColor theme="8" tint="0.399945066682943"/>
        </patternFill>
      </fill>
    </dxf>
    <dxf>
      <fill>
        <patternFill patternType="solid">
          <bgColor theme="5" tint="0.399945066682943"/>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3" Type="http://schemas.openxmlformats.org/officeDocument/2006/relationships/styles" Target="styles.xml"/><Relationship Id="rId22" Type="http://schemas.openxmlformats.org/officeDocument/2006/relationships/sharedStrings" Target="sharedStrings.xml"/><Relationship Id="rId21" Type="http://schemas.openxmlformats.org/officeDocument/2006/relationships/theme" Target="theme/theme1.xml"/><Relationship Id="rId20" Type="http://schemas.openxmlformats.org/officeDocument/2006/relationships/worksheet" Target="worksheets/sheet20.xml"/><Relationship Id="rId2" Type="http://schemas.openxmlformats.org/officeDocument/2006/relationships/worksheet" Target="worksheets/sheet2.xml"/><Relationship Id="rId19" Type="http://schemas.openxmlformats.org/officeDocument/2006/relationships/worksheet" Target="worksheets/sheet19.xml"/><Relationship Id="rId18" Type="http://schemas.openxmlformats.org/officeDocument/2006/relationships/worksheet" Target="worksheets/sheet18.xml"/><Relationship Id="rId17" Type="http://schemas.openxmlformats.org/officeDocument/2006/relationships/worksheet" Target="worksheets/sheet17.xml"/><Relationship Id="rId16" Type="http://schemas.openxmlformats.org/officeDocument/2006/relationships/worksheet" Target="worksheets/sheet16.xml"/><Relationship Id="rId15" Type="http://schemas.openxmlformats.org/officeDocument/2006/relationships/worksheet" Target="worksheets/sheet15.xml"/><Relationship Id="rId14" Type="http://schemas.openxmlformats.org/officeDocument/2006/relationships/worksheet" Target="worksheets/sheet14.xml"/><Relationship Id="rId13" Type="http://schemas.openxmlformats.org/officeDocument/2006/relationships/worksheet" Target="worksheets/sheet13.xml"/><Relationship Id="rId12" Type="http://schemas.openxmlformats.org/officeDocument/2006/relationships/worksheet" Target="worksheets/sheet12.xml"/><Relationship Id="rId11" Type="http://schemas.openxmlformats.org/officeDocument/2006/relationships/worksheet" Target="worksheets/sheet11.xml"/><Relationship Id="rId10" Type="http://schemas.openxmlformats.org/officeDocument/2006/relationships/worksheet" Target="worksheets/sheet10.xml"/><Relationship Id="rId1" Type="http://schemas.openxmlformats.org/officeDocument/2006/relationships/worksheet" Target="worksheets/sheet1.xml"/></Relationships>
</file>

<file path=xl/charts/_rels/chart64.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65.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66.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0" vertOverflow="ellipsis" vert="horz" wrap="square" anchor="ctr" anchorCtr="1"/>
          <a:lstStyle/>
          <a:p>
            <a:pPr>
              <a:defRPr lang="ru-RU" sz="1800" b="1" i="0" u="none" strike="noStrike" kern="1200" baseline="0">
                <a:solidFill>
                  <a:schemeClr val="tx1"/>
                </a:solidFill>
                <a:latin typeface="+mn-lt"/>
                <a:ea typeface="+mn-ea"/>
                <a:cs typeface="+mn-cs"/>
              </a:defRPr>
            </a:pPr>
            <a:r>
              <a:rPr lang="ru-RU"/>
              <a:t>Инвестиции в основной капитал, млн руб., </a:t>
            </a:r>
            <a:r>
              <a:rPr lang="en-US"/>
              <a:t>X1 </a:t>
            </a:r>
            <a:r>
              <a:rPr lang="ru-RU"/>
              <a:t>График остатков</a:t>
            </a:r>
            <a:endParaRPr lang="ru-RU"/>
          </a:p>
        </c:rich>
      </c:tx>
      <c:layout/>
      <c:overlay val="0"/>
    </c:title>
    <c:autoTitleDeleted val="0"/>
    <c:plotArea>
      <c:layout/>
      <c:scatterChart>
        <c:scatterStyle val="marker"/>
        <c:varyColors val="0"/>
        <c:ser>
          <c:idx val="0"/>
          <c:order val="0"/>
          <c:spPr>
            <a:ln w="19050" cap="rnd" cmpd="sng" algn="ctr">
              <a:noFill/>
              <a:prstDash val="solid"/>
              <a:round/>
            </a:ln>
          </c:spPr>
          <c:dLbls>
            <c:delete val="1"/>
          </c:dLbls>
          <c:xVal>
            <c:numRef>
              <c:f>'Исходные данные 2'!$C$2:$C$31</c:f>
              <c:numCache>
                <c:formatCode>General</c:formatCode>
                <c:ptCount val="30"/>
                <c:pt idx="0">
                  <c:v>145</c:v>
                </c:pt>
                <c:pt idx="1">
                  <c:v>150</c:v>
                </c:pt>
                <c:pt idx="2">
                  <c:v>160</c:v>
                </c:pt>
                <c:pt idx="3">
                  <c:v>165</c:v>
                </c:pt>
                <c:pt idx="4">
                  <c:v>165</c:v>
                </c:pt>
                <c:pt idx="5">
                  <c:v>164</c:v>
                </c:pt>
                <c:pt idx="6">
                  <c:v>170</c:v>
                </c:pt>
                <c:pt idx="7">
                  <c:v>175</c:v>
                </c:pt>
                <c:pt idx="8">
                  <c:v>180</c:v>
                </c:pt>
                <c:pt idx="9">
                  <c:v>192</c:v>
                </c:pt>
                <c:pt idx="10">
                  <c:v>195</c:v>
                </c:pt>
                <c:pt idx="11">
                  <c:v>196</c:v>
                </c:pt>
                <c:pt idx="12">
                  <c:v>199</c:v>
                </c:pt>
                <c:pt idx="13">
                  <c:v>200</c:v>
                </c:pt>
                <c:pt idx="14">
                  <c:v>200</c:v>
                </c:pt>
                <c:pt idx="15">
                  <c:v>205</c:v>
                </c:pt>
                <c:pt idx="16">
                  <c:v>210</c:v>
                </c:pt>
                <c:pt idx="17">
                  <c:v>220</c:v>
                </c:pt>
                <c:pt idx="18">
                  <c:v>230</c:v>
                </c:pt>
                <c:pt idx="19">
                  <c:v>240</c:v>
                </c:pt>
                <c:pt idx="20">
                  <c:v>250</c:v>
                </c:pt>
                <c:pt idx="21">
                  <c:v>260</c:v>
                </c:pt>
                <c:pt idx="22">
                  <c:v>270</c:v>
                </c:pt>
                <c:pt idx="23">
                  <c:v>275</c:v>
                </c:pt>
                <c:pt idx="24">
                  <c:v>280</c:v>
                </c:pt>
                <c:pt idx="25">
                  <c:v>290</c:v>
                </c:pt>
                <c:pt idx="26">
                  <c:v>295</c:v>
                </c:pt>
                <c:pt idx="27">
                  <c:v>300</c:v>
                </c:pt>
                <c:pt idx="28">
                  <c:v>380</c:v>
                </c:pt>
                <c:pt idx="29">
                  <c:v>410</c:v>
                </c:pt>
              </c:numCache>
            </c:numRef>
          </c:xVal>
          <c:yVal>
            <c:numRef>
              <c:f>'Анализ данных 2'!$C$31:$C$60</c:f>
              <c:numCache>
                <c:formatCode>General</c:formatCode>
                <c:ptCount val="30"/>
                <c:pt idx="0">
                  <c:v>-24.0285106351309</c:v>
                </c:pt>
                <c:pt idx="1">
                  <c:v>-56.7303328027307</c:v>
                </c:pt>
                <c:pt idx="2">
                  <c:v>-9.43851389571751</c:v>
                </c:pt>
                <c:pt idx="3">
                  <c:v>-9.13554173994157</c:v>
                </c:pt>
                <c:pt idx="4">
                  <c:v>-10.8446151646488</c:v>
                </c:pt>
                <c:pt idx="5">
                  <c:v>-3.90626848856982</c:v>
                </c:pt>
                <c:pt idx="6">
                  <c:v>9.80473523096379</c:v>
                </c:pt>
                <c:pt idx="7">
                  <c:v>29.4703453145161</c:v>
                </c:pt>
                <c:pt idx="8">
                  <c:v>55.9191433630126</c:v>
                </c:pt>
                <c:pt idx="9">
                  <c:v>25.8673930131806</c:v>
                </c:pt>
                <c:pt idx="10">
                  <c:v>-50.6561166071318</c:v>
                </c:pt>
                <c:pt idx="11">
                  <c:v>6.74505396624897</c:v>
                </c:pt>
                <c:pt idx="12">
                  <c:v>4.97083210285678</c:v>
                </c:pt>
                <c:pt idx="13">
                  <c:v>22.3050642725202</c:v>
                </c:pt>
                <c:pt idx="14">
                  <c:v>20.5131405207374</c:v>
                </c:pt>
                <c:pt idx="15">
                  <c:v>24.613726818962</c:v>
                </c:pt>
                <c:pt idx="16">
                  <c:v>12.5243234030537</c:v>
                </c:pt>
                <c:pt idx="17">
                  <c:v>-57.1763281010955</c:v>
                </c:pt>
                <c:pt idx="18">
                  <c:v>-15.4768074476016</c:v>
                </c:pt>
                <c:pt idx="19">
                  <c:v>4.08266655031321</c:v>
                </c:pt>
                <c:pt idx="20">
                  <c:v>10.9953597519491</c:v>
                </c:pt>
                <c:pt idx="21">
                  <c:v>50.1687658875849</c:v>
                </c:pt>
                <c:pt idx="22">
                  <c:v>12.8617949593618</c:v>
                </c:pt>
                <c:pt idx="23">
                  <c:v>-32.6249677254616</c:v>
                </c:pt>
                <c:pt idx="24">
                  <c:v>-0.18134270061023</c:v>
                </c:pt>
                <c:pt idx="25">
                  <c:v>-22.9626806463948</c:v>
                </c:pt>
                <c:pt idx="26">
                  <c:v>4.08012475392502</c:v>
                </c:pt>
                <c:pt idx="27">
                  <c:v>20.3963694878812</c:v>
                </c:pt>
                <c:pt idx="28">
                  <c:v>-8.30108904321764</c:v>
                </c:pt>
                <c:pt idx="29">
                  <c:v>-13.8557243988112</c:v>
                </c:pt>
              </c:numCache>
            </c:numRef>
          </c:yVal>
          <c:smooth val="0"/>
        </c:ser>
        <c:dLbls>
          <c:showLegendKey val="0"/>
          <c:showVal val="0"/>
          <c:showCatName val="0"/>
          <c:showSerName val="0"/>
          <c:showPercent val="0"/>
          <c:showBubbleSize val="0"/>
        </c:dLbls>
        <c:axId val="1182963775"/>
        <c:axId val="718396543"/>
      </c:scatterChart>
      <c:valAx>
        <c:axId val="1182963775"/>
        <c:scaling>
          <c:orientation val="minMax"/>
        </c:scaling>
        <c:delete val="0"/>
        <c:axPos val="b"/>
        <c:title>
          <c:tx>
            <c:rich>
              <a:bodyPr rot="0" spcFirstLastPara="0" vertOverflow="ellipsis" vert="horz" wrap="square" anchor="ctr" anchorCtr="1"/>
              <a:lstStyle/>
              <a:p>
                <a:pPr>
                  <a:defRPr lang="ru-RU" sz="1000" b="1" i="0" u="none" strike="noStrike" kern="1200" baseline="0">
                    <a:solidFill>
                      <a:schemeClr val="tx1"/>
                    </a:solidFill>
                    <a:latin typeface="+mn-lt"/>
                    <a:ea typeface="+mn-ea"/>
                    <a:cs typeface="+mn-cs"/>
                  </a:defRPr>
                </a:pPr>
                <a:r>
                  <a:rPr lang="ru-RU"/>
                  <a:t>Инвестиции в основной капитал, млн руб., </a:t>
                </a:r>
                <a:r>
                  <a:rPr lang="en-US"/>
                  <a:t>X1</a:t>
                </a:r>
                <a:endParaRPr lang="en-US"/>
              </a:p>
            </c:rich>
          </c:tx>
          <c:layout/>
          <c:overlay val="0"/>
        </c:title>
        <c:numFmt formatCode="General" sourceLinked="1"/>
        <c:majorTickMark val="out"/>
        <c:minorTickMark val="none"/>
        <c:tickLblPos val="nextTo"/>
        <c:txPr>
          <a:bodyPr rot="-60000000" spcFirstLastPara="0" vertOverflow="ellipsis" vert="horz" wrap="square" anchor="ctr" anchorCtr="1"/>
          <a:lstStyle/>
          <a:p>
            <a:pPr>
              <a:defRPr lang="ru-RU" sz="1000" b="0" i="0" u="none" strike="noStrike" kern="1200" baseline="0">
                <a:solidFill>
                  <a:schemeClr val="tx1"/>
                </a:solidFill>
                <a:latin typeface="+mn-lt"/>
                <a:ea typeface="+mn-ea"/>
                <a:cs typeface="+mn-cs"/>
              </a:defRPr>
            </a:pPr>
          </a:p>
        </c:txPr>
        <c:crossAx val="718396543"/>
        <c:crosses val="autoZero"/>
        <c:crossBetween val="midCat"/>
      </c:valAx>
      <c:valAx>
        <c:axId val="718396543"/>
        <c:scaling>
          <c:orientation val="minMax"/>
        </c:scaling>
        <c:delete val="0"/>
        <c:axPos val="l"/>
        <c:title>
          <c:tx>
            <c:rich>
              <a:bodyPr rot="-5400000" spcFirstLastPara="0" vertOverflow="ellipsis" vert="horz" wrap="square" anchor="ctr" anchorCtr="1"/>
              <a:lstStyle/>
              <a:p>
                <a:pPr>
                  <a:defRPr lang="ru-RU" sz="1000" b="1" i="0" u="none" strike="noStrike" kern="1200" baseline="0">
                    <a:solidFill>
                      <a:schemeClr val="tx1"/>
                    </a:solidFill>
                    <a:latin typeface="+mn-lt"/>
                    <a:ea typeface="+mn-ea"/>
                    <a:cs typeface="+mn-cs"/>
                  </a:defRPr>
                </a:pPr>
                <a:r>
                  <a:rPr lang="ru-RU"/>
                  <a:t>Остатки</a:t>
                </a:r>
                <a:endParaRPr lang="ru-RU"/>
              </a:p>
            </c:rich>
          </c:tx>
          <c:layout/>
          <c:overlay val="0"/>
        </c:title>
        <c:numFmt formatCode="General" sourceLinked="1"/>
        <c:majorTickMark val="out"/>
        <c:minorTickMark val="none"/>
        <c:tickLblPos val="nextTo"/>
        <c:txPr>
          <a:bodyPr rot="-60000000" spcFirstLastPara="0" vertOverflow="ellipsis" vert="horz" wrap="square" anchor="ctr" anchorCtr="1"/>
          <a:lstStyle/>
          <a:p>
            <a:pPr>
              <a:defRPr lang="ru-RU" sz="1000" b="0" i="0" u="none" strike="noStrike" kern="1200" baseline="0">
                <a:solidFill>
                  <a:schemeClr val="tx1"/>
                </a:solidFill>
                <a:latin typeface="+mn-lt"/>
                <a:ea typeface="+mn-ea"/>
                <a:cs typeface="+mn-cs"/>
              </a:defRPr>
            </a:pPr>
          </a:p>
        </c:txPr>
        <c:crossAx val="1182963775"/>
        <c:crosses val="autoZero"/>
        <c:crossBetween val="midCat"/>
      </c:valAx>
    </c:plotArea>
    <c:plotVisOnly val="1"/>
    <c:dispBlanksAs val="gap"/>
    <c:showDLblsOverMax val="0"/>
    <c:extLst>
      <c:ext uri="{0b15fc19-7d7d-44ad-8c2d-2c3a37ce22c3}">
        <chartProps xmlns="https://web.wps.cn/et/2018/main" chartId="{2421e26a-3945-4475-8134-a2273f604c77}"/>
      </c:ext>
    </c:extLst>
  </c:chart>
  <c:txPr>
    <a:bodyPr/>
    <a:lstStyle/>
    <a:p>
      <a:pPr>
        <a:defRPr lang="ru-RU"/>
      </a:pPr>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0" vertOverflow="ellipsis" vert="horz" wrap="square" anchor="ctr" anchorCtr="1"/>
          <a:lstStyle/>
          <a:p>
            <a:pPr>
              <a:defRPr lang="ru-RU" sz="1800" b="1" i="0" u="none" strike="noStrike" kern="1200" baseline="0">
                <a:solidFill>
                  <a:schemeClr val="tx1"/>
                </a:solidFill>
                <a:latin typeface="+mn-lt"/>
                <a:ea typeface="+mn-ea"/>
                <a:cs typeface="+mn-cs"/>
              </a:defRPr>
            </a:pPr>
            <a:r>
              <a:rPr lang="ru-RU"/>
              <a:t>Среднесписочная численность работников, чел., </a:t>
            </a:r>
            <a:r>
              <a:rPr lang="en-US"/>
              <a:t>X2 </a:t>
            </a:r>
            <a:r>
              <a:rPr lang="ru-RU"/>
              <a:t>График остатков</a:t>
            </a:r>
            <a:endParaRPr lang="ru-RU"/>
          </a:p>
        </c:rich>
      </c:tx>
      <c:layout/>
      <c:overlay val="0"/>
    </c:title>
    <c:autoTitleDeleted val="0"/>
    <c:plotArea>
      <c:layout/>
      <c:scatterChart>
        <c:scatterStyle val="marker"/>
        <c:varyColors val="0"/>
        <c:ser>
          <c:idx val="0"/>
          <c:order val="0"/>
          <c:spPr>
            <a:ln w="19050" cap="rnd" cmpd="sng" algn="ctr">
              <a:noFill/>
              <a:prstDash val="solid"/>
              <a:round/>
            </a:ln>
          </c:spPr>
          <c:dLbls>
            <c:delete val="1"/>
          </c:dLbls>
          <c:xVal>
            <c:numRef>
              <c:f>'Исходные данные 2'!$D$2:$D$31</c:f>
              <c:numCache>
                <c:formatCode>General</c:formatCode>
                <c:ptCount val="30"/>
                <c:pt idx="0">
                  <c:v>500</c:v>
                </c:pt>
                <c:pt idx="1">
                  <c:v>510</c:v>
                </c:pt>
                <c:pt idx="2">
                  <c:v>509</c:v>
                </c:pt>
                <c:pt idx="3">
                  <c:v>515</c:v>
                </c:pt>
                <c:pt idx="4">
                  <c:v>520</c:v>
                </c:pt>
                <c:pt idx="5">
                  <c:v>519</c:v>
                </c:pt>
                <c:pt idx="6">
                  <c:v>525</c:v>
                </c:pt>
                <c:pt idx="7">
                  <c:v>526</c:v>
                </c:pt>
                <c:pt idx="8">
                  <c:v>530</c:v>
                </c:pt>
                <c:pt idx="9">
                  <c:v>550</c:v>
                </c:pt>
                <c:pt idx="10">
                  <c:v>570</c:v>
                </c:pt>
                <c:pt idx="11">
                  <c:v>560</c:v>
                </c:pt>
                <c:pt idx="12">
                  <c:v>555</c:v>
                </c:pt>
                <c:pt idx="13">
                  <c:v>555</c:v>
                </c:pt>
                <c:pt idx="14">
                  <c:v>560</c:v>
                </c:pt>
                <c:pt idx="15">
                  <c:v>560</c:v>
                </c:pt>
                <c:pt idx="16">
                  <c:v>562</c:v>
                </c:pt>
                <c:pt idx="17">
                  <c:v>580</c:v>
                </c:pt>
                <c:pt idx="18">
                  <c:v>581</c:v>
                </c:pt>
                <c:pt idx="19">
                  <c:v>582</c:v>
                </c:pt>
                <c:pt idx="20">
                  <c:v>585</c:v>
                </c:pt>
                <c:pt idx="21">
                  <c:v>590</c:v>
                </c:pt>
                <c:pt idx="22">
                  <c:v>601</c:v>
                </c:pt>
                <c:pt idx="23">
                  <c:v>612</c:v>
                </c:pt>
                <c:pt idx="24">
                  <c:v>610</c:v>
                </c:pt>
                <c:pt idx="25">
                  <c:v>611</c:v>
                </c:pt>
                <c:pt idx="26">
                  <c:v>615</c:v>
                </c:pt>
                <c:pt idx="27">
                  <c:v>620</c:v>
                </c:pt>
                <c:pt idx="28">
                  <c:v>621</c:v>
                </c:pt>
                <c:pt idx="29">
                  <c:v>622</c:v>
                </c:pt>
              </c:numCache>
            </c:numRef>
          </c:xVal>
          <c:yVal>
            <c:numRef>
              <c:f>'Анализ данных 2'!$C$31:$C$60</c:f>
              <c:numCache>
                <c:formatCode>General</c:formatCode>
                <c:ptCount val="30"/>
                <c:pt idx="0">
                  <c:v>-24.0285106351309</c:v>
                </c:pt>
                <c:pt idx="1">
                  <c:v>-56.7303328027307</c:v>
                </c:pt>
                <c:pt idx="2">
                  <c:v>-9.43851389571751</c:v>
                </c:pt>
                <c:pt idx="3">
                  <c:v>-9.13554173994157</c:v>
                </c:pt>
                <c:pt idx="4">
                  <c:v>-10.8446151646488</c:v>
                </c:pt>
                <c:pt idx="5">
                  <c:v>-3.90626848856982</c:v>
                </c:pt>
                <c:pt idx="6">
                  <c:v>9.80473523096379</c:v>
                </c:pt>
                <c:pt idx="7">
                  <c:v>29.4703453145161</c:v>
                </c:pt>
                <c:pt idx="8">
                  <c:v>55.9191433630126</c:v>
                </c:pt>
                <c:pt idx="9">
                  <c:v>25.8673930131806</c:v>
                </c:pt>
                <c:pt idx="10">
                  <c:v>-50.6561166071318</c:v>
                </c:pt>
                <c:pt idx="11">
                  <c:v>6.74505396624897</c:v>
                </c:pt>
                <c:pt idx="12">
                  <c:v>4.97083210285678</c:v>
                </c:pt>
                <c:pt idx="13">
                  <c:v>22.3050642725202</c:v>
                </c:pt>
                <c:pt idx="14">
                  <c:v>20.5131405207374</c:v>
                </c:pt>
                <c:pt idx="15">
                  <c:v>24.613726818962</c:v>
                </c:pt>
                <c:pt idx="16">
                  <c:v>12.5243234030537</c:v>
                </c:pt>
                <c:pt idx="17">
                  <c:v>-57.1763281010955</c:v>
                </c:pt>
                <c:pt idx="18">
                  <c:v>-15.4768074476016</c:v>
                </c:pt>
                <c:pt idx="19">
                  <c:v>4.08266655031321</c:v>
                </c:pt>
                <c:pt idx="20">
                  <c:v>10.9953597519491</c:v>
                </c:pt>
                <c:pt idx="21">
                  <c:v>50.1687658875849</c:v>
                </c:pt>
                <c:pt idx="22">
                  <c:v>12.8617949593618</c:v>
                </c:pt>
                <c:pt idx="23">
                  <c:v>-32.6249677254616</c:v>
                </c:pt>
                <c:pt idx="24">
                  <c:v>-0.18134270061023</c:v>
                </c:pt>
                <c:pt idx="25">
                  <c:v>-22.9626806463948</c:v>
                </c:pt>
                <c:pt idx="26">
                  <c:v>4.08012475392502</c:v>
                </c:pt>
                <c:pt idx="27">
                  <c:v>20.3963694878812</c:v>
                </c:pt>
                <c:pt idx="28">
                  <c:v>-8.30108904321764</c:v>
                </c:pt>
                <c:pt idx="29">
                  <c:v>-13.8557243988112</c:v>
                </c:pt>
              </c:numCache>
            </c:numRef>
          </c:yVal>
          <c:smooth val="0"/>
        </c:ser>
        <c:dLbls>
          <c:showLegendKey val="0"/>
          <c:showVal val="0"/>
          <c:showCatName val="0"/>
          <c:showSerName val="0"/>
          <c:showPercent val="0"/>
          <c:showBubbleSize val="0"/>
        </c:dLbls>
        <c:axId val="1182968975"/>
        <c:axId val="1146457567"/>
      </c:scatterChart>
      <c:valAx>
        <c:axId val="1182968975"/>
        <c:scaling>
          <c:orientation val="minMax"/>
        </c:scaling>
        <c:delete val="0"/>
        <c:axPos val="b"/>
        <c:title>
          <c:tx>
            <c:rich>
              <a:bodyPr rot="0" spcFirstLastPara="0" vertOverflow="ellipsis" vert="horz" wrap="square" anchor="ctr" anchorCtr="1"/>
              <a:lstStyle/>
              <a:p>
                <a:pPr>
                  <a:defRPr lang="ru-RU" sz="1000" b="1" i="0" u="none" strike="noStrike" kern="1200" baseline="0">
                    <a:solidFill>
                      <a:schemeClr val="tx1"/>
                    </a:solidFill>
                    <a:latin typeface="+mn-lt"/>
                    <a:ea typeface="+mn-ea"/>
                    <a:cs typeface="+mn-cs"/>
                  </a:defRPr>
                </a:pPr>
                <a:r>
                  <a:rPr lang="ru-RU"/>
                  <a:t>Среднесписочная численность работников, чел., </a:t>
                </a:r>
                <a:r>
                  <a:rPr lang="en-US"/>
                  <a:t>X2</a:t>
                </a:r>
                <a:endParaRPr lang="en-US"/>
              </a:p>
            </c:rich>
          </c:tx>
          <c:layout/>
          <c:overlay val="0"/>
        </c:title>
        <c:numFmt formatCode="General" sourceLinked="1"/>
        <c:majorTickMark val="out"/>
        <c:minorTickMark val="none"/>
        <c:tickLblPos val="nextTo"/>
        <c:txPr>
          <a:bodyPr rot="-60000000" spcFirstLastPara="0" vertOverflow="ellipsis" vert="horz" wrap="square" anchor="ctr" anchorCtr="1"/>
          <a:lstStyle/>
          <a:p>
            <a:pPr>
              <a:defRPr lang="ru-RU" sz="1000" b="0" i="0" u="none" strike="noStrike" kern="1200" baseline="0">
                <a:solidFill>
                  <a:schemeClr val="tx1"/>
                </a:solidFill>
                <a:latin typeface="+mn-lt"/>
                <a:ea typeface="+mn-ea"/>
                <a:cs typeface="+mn-cs"/>
              </a:defRPr>
            </a:pPr>
          </a:p>
        </c:txPr>
        <c:crossAx val="1146457567"/>
        <c:crosses val="autoZero"/>
        <c:crossBetween val="midCat"/>
      </c:valAx>
      <c:valAx>
        <c:axId val="1146457567"/>
        <c:scaling>
          <c:orientation val="minMax"/>
        </c:scaling>
        <c:delete val="0"/>
        <c:axPos val="l"/>
        <c:title>
          <c:tx>
            <c:rich>
              <a:bodyPr rot="-5400000" spcFirstLastPara="0" vertOverflow="ellipsis" vert="horz" wrap="square" anchor="ctr" anchorCtr="1"/>
              <a:lstStyle/>
              <a:p>
                <a:pPr>
                  <a:defRPr lang="ru-RU" sz="1000" b="1" i="0" u="none" strike="noStrike" kern="1200" baseline="0">
                    <a:solidFill>
                      <a:schemeClr val="tx1"/>
                    </a:solidFill>
                    <a:latin typeface="+mn-lt"/>
                    <a:ea typeface="+mn-ea"/>
                    <a:cs typeface="+mn-cs"/>
                  </a:defRPr>
                </a:pPr>
                <a:r>
                  <a:rPr lang="ru-RU"/>
                  <a:t>Остатки</a:t>
                </a:r>
                <a:endParaRPr lang="ru-RU"/>
              </a:p>
            </c:rich>
          </c:tx>
          <c:layout/>
          <c:overlay val="0"/>
        </c:title>
        <c:numFmt formatCode="General" sourceLinked="1"/>
        <c:majorTickMark val="out"/>
        <c:minorTickMark val="none"/>
        <c:tickLblPos val="nextTo"/>
        <c:txPr>
          <a:bodyPr rot="-60000000" spcFirstLastPara="0" vertOverflow="ellipsis" vert="horz" wrap="square" anchor="ctr" anchorCtr="1"/>
          <a:lstStyle/>
          <a:p>
            <a:pPr>
              <a:defRPr lang="ru-RU" sz="1000" b="0" i="0" u="none" strike="noStrike" kern="1200" baseline="0">
                <a:solidFill>
                  <a:schemeClr val="tx1"/>
                </a:solidFill>
                <a:latin typeface="+mn-lt"/>
                <a:ea typeface="+mn-ea"/>
                <a:cs typeface="+mn-cs"/>
              </a:defRPr>
            </a:pPr>
          </a:p>
        </c:txPr>
        <c:crossAx val="1182968975"/>
        <c:crosses val="autoZero"/>
        <c:crossBetween val="midCat"/>
      </c:valAx>
    </c:plotArea>
    <c:plotVisOnly val="1"/>
    <c:dispBlanksAs val="gap"/>
    <c:showDLblsOverMax val="0"/>
    <c:extLst>
      <c:ext uri="{0b15fc19-7d7d-44ad-8c2d-2c3a37ce22c3}">
        <chartProps xmlns="https://web.wps.cn/et/2018/main" chartId="{aea2d350-d8a2-4628-a8b4-ef40b1013b1c}"/>
      </c:ext>
    </c:extLst>
  </c:chart>
  <c:txPr>
    <a:bodyPr/>
    <a:lstStyle/>
    <a:p>
      <a:pPr>
        <a:defRPr lang="ru-RU"/>
      </a:pPr>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0" vertOverflow="ellipsis" vert="horz" wrap="square" anchor="ctr" anchorCtr="1"/>
          <a:lstStyle/>
          <a:p>
            <a:pPr>
              <a:defRPr lang="ru-RU" sz="1800" b="1" i="0" u="none" strike="noStrike" kern="1200" baseline="0">
                <a:solidFill>
                  <a:schemeClr val="tx1"/>
                </a:solidFill>
                <a:latin typeface="+mn-lt"/>
                <a:ea typeface="+mn-ea"/>
                <a:cs typeface="+mn-cs"/>
              </a:defRPr>
            </a:pPr>
            <a:r>
              <a:rPr lang="ru-RU"/>
              <a:t>Стоимость основных производственных фондов, млн руб., </a:t>
            </a:r>
            <a:r>
              <a:rPr lang="en-US"/>
              <a:t>X3 </a:t>
            </a:r>
            <a:r>
              <a:rPr lang="ru-RU"/>
              <a:t>График остатков</a:t>
            </a:r>
            <a:endParaRPr lang="ru-RU"/>
          </a:p>
        </c:rich>
      </c:tx>
      <c:layout/>
      <c:overlay val="0"/>
    </c:title>
    <c:autoTitleDeleted val="0"/>
    <c:plotArea>
      <c:layout/>
      <c:scatterChart>
        <c:scatterStyle val="marker"/>
        <c:varyColors val="0"/>
        <c:ser>
          <c:idx val="0"/>
          <c:order val="0"/>
          <c:spPr>
            <a:ln w="19050" cap="rnd" cmpd="sng" algn="ctr">
              <a:noFill/>
              <a:prstDash val="solid"/>
              <a:round/>
            </a:ln>
          </c:spPr>
          <c:dLbls>
            <c:delete val="1"/>
          </c:dLbls>
          <c:xVal>
            <c:numRef>
              <c:f>'Исходные данные 2'!$E$2:$E$31</c:f>
              <c:numCache>
                <c:formatCode>General</c:formatCode>
                <c:ptCount val="30"/>
                <c:pt idx="0">
                  <c:v>1340</c:v>
                </c:pt>
                <c:pt idx="1">
                  <c:v>1560</c:v>
                </c:pt>
                <c:pt idx="2">
                  <c:v>1590</c:v>
                </c:pt>
                <c:pt idx="3">
                  <c:v>1680</c:v>
                </c:pt>
                <c:pt idx="4">
                  <c:v>1450</c:v>
                </c:pt>
                <c:pt idx="5">
                  <c:v>1600</c:v>
                </c:pt>
                <c:pt idx="6">
                  <c:v>1200</c:v>
                </c:pt>
                <c:pt idx="7">
                  <c:v>1280</c:v>
                </c:pt>
                <c:pt idx="8">
                  <c:v>1560</c:v>
                </c:pt>
                <c:pt idx="9">
                  <c:v>1680</c:v>
                </c:pt>
                <c:pt idx="10">
                  <c:v>1780</c:v>
                </c:pt>
                <c:pt idx="11">
                  <c:v>1890</c:v>
                </c:pt>
                <c:pt idx="12">
                  <c:v>1580</c:v>
                </c:pt>
                <c:pt idx="13">
                  <c:v>1760</c:v>
                </c:pt>
                <c:pt idx="14">
                  <c:v>1340</c:v>
                </c:pt>
                <c:pt idx="15">
                  <c:v>1670</c:v>
                </c:pt>
                <c:pt idx="16">
                  <c:v>1350</c:v>
                </c:pt>
                <c:pt idx="17">
                  <c:v>1240</c:v>
                </c:pt>
                <c:pt idx="18">
                  <c:v>1450</c:v>
                </c:pt>
                <c:pt idx="19">
                  <c:v>1670</c:v>
                </c:pt>
                <c:pt idx="20">
                  <c:v>1280</c:v>
                </c:pt>
                <c:pt idx="21">
                  <c:v>1340</c:v>
                </c:pt>
                <c:pt idx="22">
                  <c:v>1450</c:v>
                </c:pt>
                <c:pt idx="23">
                  <c:v>1450</c:v>
                </c:pt>
                <c:pt idx="24">
                  <c:v>1670</c:v>
                </c:pt>
                <c:pt idx="25">
                  <c:v>1330</c:v>
                </c:pt>
                <c:pt idx="26">
                  <c:v>1560</c:v>
                </c:pt>
                <c:pt idx="27">
                  <c:v>1760</c:v>
                </c:pt>
                <c:pt idx="28">
                  <c:v>1650</c:v>
                </c:pt>
                <c:pt idx="29">
                  <c:v>1890</c:v>
                </c:pt>
              </c:numCache>
            </c:numRef>
          </c:xVal>
          <c:yVal>
            <c:numRef>
              <c:f>'Анализ данных 2'!$C$31:$C$60</c:f>
              <c:numCache>
                <c:formatCode>General</c:formatCode>
                <c:ptCount val="30"/>
                <c:pt idx="0">
                  <c:v>-24.0285106351309</c:v>
                </c:pt>
                <c:pt idx="1">
                  <c:v>-56.7303328027307</c:v>
                </c:pt>
                <c:pt idx="2">
                  <c:v>-9.43851389571751</c:v>
                </c:pt>
                <c:pt idx="3">
                  <c:v>-9.13554173994157</c:v>
                </c:pt>
                <c:pt idx="4">
                  <c:v>-10.8446151646488</c:v>
                </c:pt>
                <c:pt idx="5">
                  <c:v>-3.90626848856982</c:v>
                </c:pt>
                <c:pt idx="6">
                  <c:v>9.80473523096379</c:v>
                </c:pt>
                <c:pt idx="7">
                  <c:v>29.4703453145161</c:v>
                </c:pt>
                <c:pt idx="8">
                  <c:v>55.9191433630126</c:v>
                </c:pt>
                <c:pt idx="9">
                  <c:v>25.8673930131806</c:v>
                </c:pt>
                <c:pt idx="10">
                  <c:v>-50.6561166071318</c:v>
                </c:pt>
                <c:pt idx="11">
                  <c:v>6.74505396624897</c:v>
                </c:pt>
                <c:pt idx="12">
                  <c:v>4.97083210285678</c:v>
                </c:pt>
                <c:pt idx="13">
                  <c:v>22.3050642725202</c:v>
                </c:pt>
                <c:pt idx="14">
                  <c:v>20.5131405207374</c:v>
                </c:pt>
                <c:pt idx="15">
                  <c:v>24.613726818962</c:v>
                </c:pt>
                <c:pt idx="16">
                  <c:v>12.5243234030537</c:v>
                </c:pt>
                <c:pt idx="17">
                  <c:v>-57.1763281010955</c:v>
                </c:pt>
                <c:pt idx="18">
                  <c:v>-15.4768074476016</c:v>
                </c:pt>
                <c:pt idx="19">
                  <c:v>4.08266655031321</c:v>
                </c:pt>
                <c:pt idx="20">
                  <c:v>10.9953597519491</c:v>
                </c:pt>
                <c:pt idx="21">
                  <c:v>50.1687658875849</c:v>
                </c:pt>
                <c:pt idx="22">
                  <c:v>12.8617949593618</c:v>
                </c:pt>
                <c:pt idx="23">
                  <c:v>-32.6249677254616</c:v>
                </c:pt>
                <c:pt idx="24">
                  <c:v>-0.18134270061023</c:v>
                </c:pt>
                <c:pt idx="25">
                  <c:v>-22.9626806463948</c:v>
                </c:pt>
                <c:pt idx="26">
                  <c:v>4.08012475392502</c:v>
                </c:pt>
                <c:pt idx="27">
                  <c:v>20.3963694878812</c:v>
                </c:pt>
                <c:pt idx="28">
                  <c:v>-8.30108904321764</c:v>
                </c:pt>
                <c:pt idx="29">
                  <c:v>-13.8557243988112</c:v>
                </c:pt>
              </c:numCache>
            </c:numRef>
          </c:yVal>
          <c:smooth val="0"/>
        </c:ser>
        <c:dLbls>
          <c:showLegendKey val="0"/>
          <c:showVal val="0"/>
          <c:showCatName val="0"/>
          <c:showSerName val="0"/>
          <c:showPercent val="0"/>
          <c:showBubbleSize val="0"/>
        </c:dLbls>
        <c:axId val="1182984975"/>
        <c:axId val="965163455"/>
      </c:scatterChart>
      <c:valAx>
        <c:axId val="1182984975"/>
        <c:scaling>
          <c:orientation val="minMax"/>
        </c:scaling>
        <c:delete val="0"/>
        <c:axPos val="b"/>
        <c:title>
          <c:tx>
            <c:rich>
              <a:bodyPr rot="0" spcFirstLastPara="0" vertOverflow="ellipsis" vert="horz" wrap="square" anchor="ctr" anchorCtr="1"/>
              <a:lstStyle/>
              <a:p>
                <a:pPr>
                  <a:defRPr lang="ru-RU" sz="1000" b="1" i="0" u="none" strike="noStrike" kern="1200" baseline="0">
                    <a:solidFill>
                      <a:schemeClr val="tx1"/>
                    </a:solidFill>
                    <a:latin typeface="+mn-lt"/>
                    <a:ea typeface="+mn-ea"/>
                    <a:cs typeface="+mn-cs"/>
                  </a:defRPr>
                </a:pPr>
                <a:r>
                  <a:rPr lang="ru-RU"/>
                  <a:t>Стоимость основных производственных фондов, млн руб., </a:t>
                </a:r>
                <a:r>
                  <a:rPr lang="en-US"/>
                  <a:t>X3</a:t>
                </a:r>
                <a:endParaRPr lang="en-US"/>
              </a:p>
            </c:rich>
          </c:tx>
          <c:layout/>
          <c:overlay val="0"/>
        </c:title>
        <c:numFmt formatCode="General" sourceLinked="1"/>
        <c:majorTickMark val="out"/>
        <c:minorTickMark val="none"/>
        <c:tickLblPos val="nextTo"/>
        <c:txPr>
          <a:bodyPr rot="-60000000" spcFirstLastPara="0" vertOverflow="ellipsis" vert="horz" wrap="square" anchor="ctr" anchorCtr="1"/>
          <a:lstStyle/>
          <a:p>
            <a:pPr>
              <a:defRPr lang="ru-RU" sz="1000" b="0" i="0" u="none" strike="noStrike" kern="1200" baseline="0">
                <a:solidFill>
                  <a:schemeClr val="tx1"/>
                </a:solidFill>
                <a:latin typeface="+mn-lt"/>
                <a:ea typeface="+mn-ea"/>
                <a:cs typeface="+mn-cs"/>
              </a:defRPr>
            </a:pPr>
          </a:p>
        </c:txPr>
        <c:crossAx val="965163455"/>
        <c:crosses val="autoZero"/>
        <c:crossBetween val="midCat"/>
      </c:valAx>
      <c:valAx>
        <c:axId val="965163455"/>
        <c:scaling>
          <c:orientation val="minMax"/>
        </c:scaling>
        <c:delete val="0"/>
        <c:axPos val="l"/>
        <c:title>
          <c:tx>
            <c:rich>
              <a:bodyPr rot="-5400000" spcFirstLastPara="0" vertOverflow="ellipsis" vert="horz" wrap="square" anchor="ctr" anchorCtr="1"/>
              <a:lstStyle/>
              <a:p>
                <a:pPr>
                  <a:defRPr lang="ru-RU" sz="1000" b="1" i="0" u="none" strike="noStrike" kern="1200" baseline="0">
                    <a:solidFill>
                      <a:schemeClr val="tx1"/>
                    </a:solidFill>
                    <a:latin typeface="+mn-lt"/>
                    <a:ea typeface="+mn-ea"/>
                    <a:cs typeface="+mn-cs"/>
                  </a:defRPr>
                </a:pPr>
                <a:r>
                  <a:rPr lang="ru-RU"/>
                  <a:t>Остатки</a:t>
                </a:r>
                <a:endParaRPr lang="ru-RU"/>
              </a:p>
            </c:rich>
          </c:tx>
          <c:layout/>
          <c:overlay val="0"/>
        </c:title>
        <c:numFmt formatCode="General" sourceLinked="1"/>
        <c:majorTickMark val="out"/>
        <c:minorTickMark val="none"/>
        <c:tickLblPos val="nextTo"/>
        <c:txPr>
          <a:bodyPr rot="-60000000" spcFirstLastPara="0" vertOverflow="ellipsis" vert="horz" wrap="square" anchor="ctr" anchorCtr="1"/>
          <a:lstStyle/>
          <a:p>
            <a:pPr>
              <a:defRPr lang="ru-RU" sz="1000" b="0" i="0" u="none" strike="noStrike" kern="1200" baseline="0">
                <a:solidFill>
                  <a:schemeClr val="tx1"/>
                </a:solidFill>
                <a:latin typeface="+mn-lt"/>
                <a:ea typeface="+mn-ea"/>
                <a:cs typeface="+mn-cs"/>
              </a:defRPr>
            </a:pPr>
          </a:p>
        </c:txPr>
        <c:crossAx val="1182984975"/>
        <c:crosses val="autoZero"/>
        <c:crossBetween val="midCat"/>
      </c:valAx>
    </c:plotArea>
    <c:plotVisOnly val="1"/>
    <c:dispBlanksAs val="gap"/>
    <c:showDLblsOverMax val="0"/>
    <c:extLst>
      <c:ext uri="{0b15fc19-7d7d-44ad-8c2d-2c3a37ce22c3}">
        <chartProps xmlns="https://web.wps.cn/et/2018/main" chartId="{15693c49-6fe1-4cf5-9e08-ac81c541c0de}"/>
      </c:ext>
    </c:extLst>
  </c:chart>
  <c:txPr>
    <a:bodyPr/>
    <a:lstStyle/>
    <a:p>
      <a:pPr>
        <a:defRPr lang="ru-RU"/>
      </a:pPr>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0" vertOverflow="ellipsis" vert="horz" wrap="square" anchor="ctr" anchorCtr="1"/>
          <a:lstStyle/>
          <a:p>
            <a:pPr>
              <a:defRPr lang="ru-RU" sz="1800" b="1" i="0" u="none" strike="noStrike" kern="1200" baseline="0">
                <a:solidFill>
                  <a:schemeClr val="tx1"/>
                </a:solidFill>
                <a:latin typeface="+mn-lt"/>
                <a:ea typeface="+mn-ea"/>
                <a:cs typeface="+mn-cs"/>
              </a:defRPr>
            </a:pPr>
            <a:r>
              <a:rPr lang="ru-RU"/>
              <a:t>Коммерческие расходы, млн руб., </a:t>
            </a:r>
            <a:r>
              <a:rPr lang="en-US"/>
              <a:t>X6 </a:t>
            </a:r>
            <a:r>
              <a:rPr lang="ru-RU"/>
              <a:t>График остатков</a:t>
            </a:r>
            <a:endParaRPr lang="ru-RU"/>
          </a:p>
        </c:rich>
      </c:tx>
      <c:layout/>
      <c:overlay val="0"/>
    </c:title>
    <c:autoTitleDeleted val="0"/>
    <c:plotArea>
      <c:layout/>
      <c:scatterChart>
        <c:scatterStyle val="marker"/>
        <c:varyColors val="0"/>
        <c:ser>
          <c:idx val="0"/>
          <c:order val="0"/>
          <c:spPr>
            <a:ln w="19050" cap="rnd" cmpd="sng" algn="ctr">
              <a:noFill/>
              <a:prstDash val="solid"/>
              <a:round/>
            </a:ln>
          </c:spPr>
          <c:dLbls>
            <c:delete val="1"/>
          </c:dLbls>
          <c:xVal>
            <c:numRef>
              <c:f>'Исходные данные 2'!$F$2:$F$31</c:f>
              <c:numCache>
                <c:formatCode>General</c:formatCode>
                <c:ptCount val="30"/>
                <c:pt idx="0">
                  <c:v>28</c:v>
                </c:pt>
                <c:pt idx="1">
                  <c:v>30</c:v>
                </c:pt>
                <c:pt idx="2">
                  <c:v>25</c:v>
                </c:pt>
                <c:pt idx="3">
                  <c:v>23</c:v>
                </c:pt>
                <c:pt idx="4">
                  <c:v>20</c:v>
                </c:pt>
                <c:pt idx="5">
                  <c:v>22</c:v>
                </c:pt>
                <c:pt idx="6">
                  <c:v>25</c:v>
                </c:pt>
                <c:pt idx="7">
                  <c:v>30</c:v>
                </c:pt>
                <c:pt idx="8">
                  <c:v>40</c:v>
                </c:pt>
                <c:pt idx="9">
                  <c:v>44</c:v>
                </c:pt>
                <c:pt idx="10">
                  <c:v>45</c:v>
                </c:pt>
                <c:pt idx="11">
                  <c:v>47</c:v>
                </c:pt>
                <c:pt idx="12">
                  <c:v>48</c:v>
                </c:pt>
                <c:pt idx="13">
                  <c:v>47</c:v>
                </c:pt>
                <c:pt idx="14">
                  <c:v>46</c:v>
                </c:pt>
                <c:pt idx="15">
                  <c:v>48</c:v>
                </c:pt>
                <c:pt idx="16">
                  <c:v>47</c:v>
                </c:pt>
                <c:pt idx="17">
                  <c:v>48</c:v>
                </c:pt>
                <c:pt idx="18">
                  <c:v>46</c:v>
                </c:pt>
                <c:pt idx="19">
                  <c:v>44</c:v>
                </c:pt>
                <c:pt idx="20">
                  <c:v>48</c:v>
                </c:pt>
                <c:pt idx="21">
                  <c:v>47</c:v>
                </c:pt>
                <c:pt idx="22">
                  <c:v>49</c:v>
                </c:pt>
                <c:pt idx="23">
                  <c:v>52</c:v>
                </c:pt>
                <c:pt idx="24">
                  <c:v>83</c:v>
                </c:pt>
                <c:pt idx="25">
                  <c:v>86</c:v>
                </c:pt>
                <c:pt idx="26">
                  <c:v>81</c:v>
                </c:pt>
                <c:pt idx="27">
                  <c:v>96</c:v>
                </c:pt>
                <c:pt idx="28">
                  <c:v>97</c:v>
                </c:pt>
                <c:pt idx="29">
                  <c:v>105</c:v>
                </c:pt>
              </c:numCache>
            </c:numRef>
          </c:xVal>
          <c:yVal>
            <c:numRef>
              <c:f>'Анализ данных 2'!$C$31:$C$60</c:f>
              <c:numCache>
                <c:formatCode>General</c:formatCode>
                <c:ptCount val="30"/>
                <c:pt idx="0">
                  <c:v>-24.0285106351309</c:v>
                </c:pt>
                <c:pt idx="1">
                  <c:v>-56.7303328027307</c:v>
                </c:pt>
                <c:pt idx="2">
                  <c:v>-9.43851389571751</c:v>
                </c:pt>
                <c:pt idx="3">
                  <c:v>-9.13554173994157</c:v>
                </c:pt>
                <c:pt idx="4">
                  <c:v>-10.8446151646488</c:v>
                </c:pt>
                <c:pt idx="5">
                  <c:v>-3.90626848856982</c:v>
                </c:pt>
                <c:pt idx="6">
                  <c:v>9.80473523096379</c:v>
                </c:pt>
                <c:pt idx="7">
                  <c:v>29.4703453145161</c:v>
                </c:pt>
                <c:pt idx="8">
                  <c:v>55.9191433630126</c:v>
                </c:pt>
                <c:pt idx="9">
                  <c:v>25.8673930131806</c:v>
                </c:pt>
                <c:pt idx="10">
                  <c:v>-50.6561166071318</c:v>
                </c:pt>
                <c:pt idx="11">
                  <c:v>6.74505396624897</c:v>
                </c:pt>
                <c:pt idx="12">
                  <c:v>4.97083210285678</c:v>
                </c:pt>
                <c:pt idx="13">
                  <c:v>22.3050642725202</c:v>
                </c:pt>
                <c:pt idx="14">
                  <c:v>20.5131405207374</c:v>
                </c:pt>
                <c:pt idx="15">
                  <c:v>24.613726818962</c:v>
                </c:pt>
                <c:pt idx="16">
                  <c:v>12.5243234030537</c:v>
                </c:pt>
                <c:pt idx="17">
                  <c:v>-57.1763281010955</c:v>
                </c:pt>
                <c:pt idx="18">
                  <c:v>-15.4768074476016</c:v>
                </c:pt>
                <c:pt idx="19">
                  <c:v>4.08266655031321</c:v>
                </c:pt>
                <c:pt idx="20">
                  <c:v>10.9953597519491</c:v>
                </c:pt>
                <c:pt idx="21">
                  <c:v>50.1687658875849</c:v>
                </c:pt>
                <c:pt idx="22">
                  <c:v>12.8617949593618</c:v>
                </c:pt>
                <c:pt idx="23">
                  <c:v>-32.6249677254616</c:v>
                </c:pt>
                <c:pt idx="24">
                  <c:v>-0.18134270061023</c:v>
                </c:pt>
                <c:pt idx="25">
                  <c:v>-22.9626806463948</c:v>
                </c:pt>
                <c:pt idx="26">
                  <c:v>4.08012475392502</c:v>
                </c:pt>
                <c:pt idx="27">
                  <c:v>20.3963694878812</c:v>
                </c:pt>
                <c:pt idx="28">
                  <c:v>-8.30108904321764</c:v>
                </c:pt>
                <c:pt idx="29">
                  <c:v>-13.8557243988112</c:v>
                </c:pt>
              </c:numCache>
            </c:numRef>
          </c:yVal>
          <c:smooth val="0"/>
        </c:ser>
        <c:dLbls>
          <c:showLegendKey val="0"/>
          <c:showVal val="0"/>
          <c:showCatName val="0"/>
          <c:showSerName val="0"/>
          <c:showPercent val="0"/>
          <c:showBubbleSize val="0"/>
        </c:dLbls>
        <c:axId val="1182975775"/>
        <c:axId val="907492639"/>
      </c:scatterChart>
      <c:valAx>
        <c:axId val="1182975775"/>
        <c:scaling>
          <c:orientation val="minMax"/>
        </c:scaling>
        <c:delete val="0"/>
        <c:axPos val="b"/>
        <c:title>
          <c:tx>
            <c:rich>
              <a:bodyPr rot="0" spcFirstLastPara="0" vertOverflow="ellipsis" vert="horz" wrap="square" anchor="ctr" anchorCtr="1"/>
              <a:lstStyle/>
              <a:p>
                <a:pPr>
                  <a:defRPr lang="ru-RU" sz="1000" b="1" i="0" u="none" strike="noStrike" kern="1200" baseline="0">
                    <a:solidFill>
                      <a:schemeClr val="tx1"/>
                    </a:solidFill>
                    <a:latin typeface="+mn-lt"/>
                    <a:ea typeface="+mn-ea"/>
                    <a:cs typeface="+mn-cs"/>
                  </a:defRPr>
                </a:pPr>
                <a:r>
                  <a:rPr lang="ru-RU"/>
                  <a:t>Коммерческие расходы, млн руб., </a:t>
                </a:r>
                <a:r>
                  <a:rPr lang="en-US"/>
                  <a:t>X6</a:t>
                </a:r>
                <a:endParaRPr lang="en-US"/>
              </a:p>
            </c:rich>
          </c:tx>
          <c:layout/>
          <c:overlay val="0"/>
        </c:title>
        <c:numFmt formatCode="General" sourceLinked="1"/>
        <c:majorTickMark val="out"/>
        <c:minorTickMark val="none"/>
        <c:tickLblPos val="nextTo"/>
        <c:txPr>
          <a:bodyPr rot="-60000000" spcFirstLastPara="0" vertOverflow="ellipsis" vert="horz" wrap="square" anchor="ctr" anchorCtr="1"/>
          <a:lstStyle/>
          <a:p>
            <a:pPr>
              <a:defRPr lang="ru-RU" sz="1000" b="0" i="0" u="none" strike="noStrike" kern="1200" baseline="0">
                <a:solidFill>
                  <a:schemeClr val="tx1"/>
                </a:solidFill>
                <a:latin typeface="+mn-lt"/>
                <a:ea typeface="+mn-ea"/>
                <a:cs typeface="+mn-cs"/>
              </a:defRPr>
            </a:pPr>
          </a:p>
        </c:txPr>
        <c:crossAx val="907492639"/>
        <c:crosses val="autoZero"/>
        <c:crossBetween val="midCat"/>
      </c:valAx>
      <c:valAx>
        <c:axId val="907492639"/>
        <c:scaling>
          <c:orientation val="minMax"/>
        </c:scaling>
        <c:delete val="0"/>
        <c:axPos val="l"/>
        <c:title>
          <c:tx>
            <c:rich>
              <a:bodyPr rot="-5400000" spcFirstLastPara="0" vertOverflow="ellipsis" vert="horz" wrap="square" anchor="ctr" anchorCtr="1"/>
              <a:lstStyle/>
              <a:p>
                <a:pPr>
                  <a:defRPr lang="ru-RU" sz="1000" b="1" i="0" u="none" strike="noStrike" kern="1200" baseline="0">
                    <a:solidFill>
                      <a:schemeClr val="tx1"/>
                    </a:solidFill>
                    <a:latin typeface="+mn-lt"/>
                    <a:ea typeface="+mn-ea"/>
                    <a:cs typeface="+mn-cs"/>
                  </a:defRPr>
                </a:pPr>
                <a:r>
                  <a:rPr lang="ru-RU"/>
                  <a:t>Остатки</a:t>
                </a:r>
                <a:endParaRPr lang="ru-RU"/>
              </a:p>
            </c:rich>
          </c:tx>
          <c:layout/>
          <c:overlay val="0"/>
        </c:title>
        <c:numFmt formatCode="General" sourceLinked="1"/>
        <c:majorTickMark val="out"/>
        <c:minorTickMark val="none"/>
        <c:tickLblPos val="nextTo"/>
        <c:txPr>
          <a:bodyPr rot="-60000000" spcFirstLastPara="0" vertOverflow="ellipsis" vert="horz" wrap="square" anchor="ctr" anchorCtr="1"/>
          <a:lstStyle/>
          <a:p>
            <a:pPr>
              <a:defRPr lang="ru-RU" sz="1000" b="0" i="0" u="none" strike="noStrike" kern="1200" baseline="0">
                <a:solidFill>
                  <a:schemeClr val="tx1"/>
                </a:solidFill>
                <a:latin typeface="+mn-lt"/>
                <a:ea typeface="+mn-ea"/>
                <a:cs typeface="+mn-cs"/>
              </a:defRPr>
            </a:pPr>
          </a:p>
        </c:txPr>
        <c:crossAx val="1182975775"/>
        <c:crosses val="autoZero"/>
        <c:crossBetween val="midCat"/>
      </c:valAx>
    </c:plotArea>
    <c:plotVisOnly val="1"/>
    <c:dispBlanksAs val="gap"/>
    <c:showDLblsOverMax val="0"/>
    <c:extLst>
      <c:ext uri="{0b15fc19-7d7d-44ad-8c2d-2c3a37ce22c3}">
        <chartProps xmlns="https://web.wps.cn/et/2018/main" chartId="{d3cd436f-8654-467f-a7b7-f7b22add4f56}"/>
      </c:ext>
    </c:extLst>
  </c:chart>
  <c:txPr>
    <a:bodyPr/>
    <a:lstStyle/>
    <a:p>
      <a:pPr>
        <a:defRPr lang="ru-RU"/>
      </a:pPr>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0" vertOverflow="ellipsis" vert="horz" wrap="square" anchor="ctr" anchorCtr="1"/>
          <a:lstStyle/>
          <a:p>
            <a:pPr>
              <a:defRPr lang="ru-RU" sz="1800" b="1" i="0" u="none" strike="noStrike" kern="1200" baseline="0">
                <a:solidFill>
                  <a:schemeClr val="tx1"/>
                </a:solidFill>
                <a:latin typeface="+mn-lt"/>
                <a:ea typeface="+mn-ea"/>
                <a:cs typeface="+mn-cs"/>
              </a:defRPr>
            </a:pPr>
            <a:r>
              <a:rPr lang="ru-RU"/>
              <a:t>Прибыль конкурента, млн руб., </a:t>
            </a:r>
            <a:r>
              <a:rPr lang="en-US"/>
              <a:t>X7 </a:t>
            </a:r>
            <a:r>
              <a:rPr lang="ru-RU"/>
              <a:t>График остатков</a:t>
            </a:r>
            <a:endParaRPr lang="ru-RU"/>
          </a:p>
        </c:rich>
      </c:tx>
      <c:layout/>
      <c:overlay val="0"/>
    </c:title>
    <c:autoTitleDeleted val="0"/>
    <c:plotArea>
      <c:layout/>
      <c:scatterChart>
        <c:scatterStyle val="marker"/>
        <c:varyColors val="0"/>
        <c:ser>
          <c:idx val="0"/>
          <c:order val="0"/>
          <c:spPr>
            <a:ln w="19050" cap="rnd" cmpd="sng" algn="ctr">
              <a:noFill/>
              <a:prstDash val="solid"/>
              <a:round/>
            </a:ln>
          </c:spPr>
          <c:dLbls>
            <c:delete val="1"/>
          </c:dLbls>
          <c:xVal>
            <c:numRef>
              <c:f>'Исходные данные 2'!$G$2:$G$31</c:f>
              <c:numCache>
                <c:formatCode>General</c:formatCode>
                <c:ptCount val="30"/>
                <c:pt idx="0">
                  <c:v>780</c:v>
                </c:pt>
                <c:pt idx="1">
                  <c:v>790</c:v>
                </c:pt>
                <c:pt idx="2">
                  <c:v>800</c:v>
                </c:pt>
                <c:pt idx="3">
                  <c:v>820</c:v>
                </c:pt>
                <c:pt idx="4">
                  <c:v>840</c:v>
                </c:pt>
                <c:pt idx="5">
                  <c:v>860</c:v>
                </c:pt>
                <c:pt idx="6">
                  <c:v>875</c:v>
                </c:pt>
                <c:pt idx="7">
                  <c:v>880</c:v>
                </c:pt>
                <c:pt idx="8">
                  <c:v>890</c:v>
                </c:pt>
                <c:pt idx="9">
                  <c:v>880</c:v>
                </c:pt>
                <c:pt idx="10">
                  <c:v>870</c:v>
                </c:pt>
                <c:pt idx="11">
                  <c:v>850</c:v>
                </c:pt>
                <c:pt idx="12">
                  <c:v>890</c:v>
                </c:pt>
                <c:pt idx="13">
                  <c:v>920</c:v>
                </c:pt>
                <c:pt idx="14">
                  <c:v>945</c:v>
                </c:pt>
                <c:pt idx="15">
                  <c:v>955</c:v>
                </c:pt>
                <c:pt idx="16">
                  <c:v>968</c:v>
                </c:pt>
                <c:pt idx="17">
                  <c:v>985</c:v>
                </c:pt>
                <c:pt idx="18">
                  <c:v>990</c:v>
                </c:pt>
                <c:pt idx="19">
                  <c:v>1030</c:v>
                </c:pt>
                <c:pt idx="20">
                  <c:v>1040</c:v>
                </c:pt>
                <c:pt idx="21">
                  <c:v>1060</c:v>
                </c:pt>
                <c:pt idx="22">
                  <c:v>1080</c:v>
                </c:pt>
                <c:pt idx="23">
                  <c:v>1133</c:v>
                </c:pt>
                <c:pt idx="24">
                  <c:v>1208</c:v>
                </c:pt>
                <c:pt idx="25">
                  <c:v>1387</c:v>
                </c:pt>
                <c:pt idx="26">
                  <c:v>1450</c:v>
                </c:pt>
                <c:pt idx="27">
                  <c:v>1500</c:v>
                </c:pt>
                <c:pt idx="28">
                  <c:v>1600</c:v>
                </c:pt>
                <c:pt idx="29">
                  <c:v>1650</c:v>
                </c:pt>
              </c:numCache>
            </c:numRef>
          </c:xVal>
          <c:yVal>
            <c:numRef>
              <c:f>'Анализ данных 2'!$C$31:$C$60</c:f>
              <c:numCache>
                <c:formatCode>General</c:formatCode>
                <c:ptCount val="30"/>
                <c:pt idx="0">
                  <c:v>-24.0285106351309</c:v>
                </c:pt>
                <c:pt idx="1">
                  <c:v>-56.7303328027307</c:v>
                </c:pt>
                <c:pt idx="2">
                  <c:v>-9.43851389571751</c:v>
                </c:pt>
                <c:pt idx="3">
                  <c:v>-9.13554173994157</c:v>
                </c:pt>
                <c:pt idx="4">
                  <c:v>-10.8446151646488</c:v>
                </c:pt>
                <c:pt idx="5">
                  <c:v>-3.90626848856982</c:v>
                </c:pt>
                <c:pt idx="6">
                  <c:v>9.80473523096379</c:v>
                </c:pt>
                <c:pt idx="7">
                  <c:v>29.4703453145161</c:v>
                </c:pt>
                <c:pt idx="8">
                  <c:v>55.9191433630126</c:v>
                </c:pt>
                <c:pt idx="9">
                  <c:v>25.8673930131806</c:v>
                </c:pt>
                <c:pt idx="10">
                  <c:v>-50.6561166071318</c:v>
                </c:pt>
                <c:pt idx="11">
                  <c:v>6.74505396624897</c:v>
                </c:pt>
                <c:pt idx="12">
                  <c:v>4.97083210285678</c:v>
                </c:pt>
                <c:pt idx="13">
                  <c:v>22.3050642725202</c:v>
                </c:pt>
                <c:pt idx="14">
                  <c:v>20.5131405207374</c:v>
                </c:pt>
                <c:pt idx="15">
                  <c:v>24.613726818962</c:v>
                </c:pt>
                <c:pt idx="16">
                  <c:v>12.5243234030537</c:v>
                </c:pt>
                <c:pt idx="17">
                  <c:v>-57.1763281010955</c:v>
                </c:pt>
                <c:pt idx="18">
                  <c:v>-15.4768074476016</c:v>
                </c:pt>
                <c:pt idx="19">
                  <c:v>4.08266655031321</c:v>
                </c:pt>
                <c:pt idx="20">
                  <c:v>10.9953597519491</c:v>
                </c:pt>
                <c:pt idx="21">
                  <c:v>50.1687658875849</c:v>
                </c:pt>
                <c:pt idx="22">
                  <c:v>12.8617949593618</c:v>
                </c:pt>
                <c:pt idx="23">
                  <c:v>-32.6249677254616</c:v>
                </c:pt>
                <c:pt idx="24">
                  <c:v>-0.18134270061023</c:v>
                </c:pt>
                <c:pt idx="25">
                  <c:v>-22.9626806463948</c:v>
                </c:pt>
                <c:pt idx="26">
                  <c:v>4.08012475392502</c:v>
                </c:pt>
                <c:pt idx="27">
                  <c:v>20.3963694878812</c:v>
                </c:pt>
                <c:pt idx="28">
                  <c:v>-8.30108904321764</c:v>
                </c:pt>
                <c:pt idx="29">
                  <c:v>-13.8557243988112</c:v>
                </c:pt>
              </c:numCache>
            </c:numRef>
          </c:yVal>
          <c:smooth val="0"/>
        </c:ser>
        <c:dLbls>
          <c:showLegendKey val="0"/>
          <c:showVal val="0"/>
          <c:showCatName val="0"/>
          <c:showSerName val="0"/>
          <c:showPercent val="0"/>
          <c:showBubbleSize val="0"/>
        </c:dLbls>
        <c:axId val="1182980575"/>
        <c:axId val="1229375215"/>
      </c:scatterChart>
      <c:valAx>
        <c:axId val="1182980575"/>
        <c:scaling>
          <c:orientation val="minMax"/>
        </c:scaling>
        <c:delete val="0"/>
        <c:axPos val="b"/>
        <c:title>
          <c:tx>
            <c:rich>
              <a:bodyPr rot="0" spcFirstLastPara="0" vertOverflow="ellipsis" vert="horz" wrap="square" anchor="ctr" anchorCtr="1"/>
              <a:lstStyle/>
              <a:p>
                <a:pPr>
                  <a:defRPr lang="ru-RU" sz="1000" b="1" i="0" u="none" strike="noStrike" kern="1200" baseline="0">
                    <a:solidFill>
                      <a:schemeClr val="tx1"/>
                    </a:solidFill>
                    <a:latin typeface="+mn-lt"/>
                    <a:ea typeface="+mn-ea"/>
                    <a:cs typeface="+mn-cs"/>
                  </a:defRPr>
                </a:pPr>
                <a:r>
                  <a:rPr lang="ru-RU"/>
                  <a:t>Прибыль конкурента, млн руб., </a:t>
                </a:r>
                <a:r>
                  <a:rPr lang="en-US"/>
                  <a:t>X7</a:t>
                </a:r>
                <a:endParaRPr lang="en-US"/>
              </a:p>
            </c:rich>
          </c:tx>
          <c:layout/>
          <c:overlay val="0"/>
        </c:title>
        <c:numFmt formatCode="General" sourceLinked="1"/>
        <c:majorTickMark val="out"/>
        <c:minorTickMark val="none"/>
        <c:tickLblPos val="nextTo"/>
        <c:txPr>
          <a:bodyPr rot="-60000000" spcFirstLastPara="0" vertOverflow="ellipsis" vert="horz" wrap="square" anchor="ctr" anchorCtr="1"/>
          <a:lstStyle/>
          <a:p>
            <a:pPr>
              <a:defRPr lang="ru-RU" sz="1000" b="0" i="0" u="none" strike="noStrike" kern="1200" baseline="0">
                <a:solidFill>
                  <a:schemeClr val="tx1"/>
                </a:solidFill>
                <a:latin typeface="+mn-lt"/>
                <a:ea typeface="+mn-ea"/>
                <a:cs typeface="+mn-cs"/>
              </a:defRPr>
            </a:pPr>
          </a:p>
        </c:txPr>
        <c:crossAx val="1229375215"/>
        <c:crosses val="autoZero"/>
        <c:crossBetween val="midCat"/>
      </c:valAx>
      <c:valAx>
        <c:axId val="1229375215"/>
        <c:scaling>
          <c:orientation val="minMax"/>
        </c:scaling>
        <c:delete val="0"/>
        <c:axPos val="l"/>
        <c:title>
          <c:tx>
            <c:rich>
              <a:bodyPr rot="-5400000" spcFirstLastPara="0" vertOverflow="ellipsis" vert="horz" wrap="square" anchor="ctr" anchorCtr="1"/>
              <a:lstStyle/>
              <a:p>
                <a:pPr>
                  <a:defRPr lang="ru-RU" sz="1000" b="1" i="0" u="none" strike="noStrike" kern="1200" baseline="0">
                    <a:solidFill>
                      <a:schemeClr val="tx1"/>
                    </a:solidFill>
                    <a:latin typeface="+mn-lt"/>
                    <a:ea typeface="+mn-ea"/>
                    <a:cs typeface="+mn-cs"/>
                  </a:defRPr>
                </a:pPr>
                <a:r>
                  <a:rPr lang="ru-RU"/>
                  <a:t>Остатки</a:t>
                </a:r>
                <a:endParaRPr lang="ru-RU"/>
              </a:p>
            </c:rich>
          </c:tx>
          <c:layout/>
          <c:overlay val="0"/>
        </c:title>
        <c:numFmt formatCode="General" sourceLinked="1"/>
        <c:majorTickMark val="out"/>
        <c:minorTickMark val="none"/>
        <c:tickLblPos val="nextTo"/>
        <c:txPr>
          <a:bodyPr rot="-60000000" spcFirstLastPara="0" vertOverflow="ellipsis" vert="horz" wrap="square" anchor="ctr" anchorCtr="1"/>
          <a:lstStyle/>
          <a:p>
            <a:pPr>
              <a:defRPr lang="ru-RU" sz="1000" b="0" i="0" u="none" strike="noStrike" kern="1200" baseline="0">
                <a:solidFill>
                  <a:schemeClr val="tx1"/>
                </a:solidFill>
                <a:latin typeface="+mn-lt"/>
                <a:ea typeface="+mn-ea"/>
                <a:cs typeface="+mn-cs"/>
              </a:defRPr>
            </a:pPr>
          </a:p>
        </c:txPr>
        <c:crossAx val="1182980575"/>
        <c:crosses val="autoZero"/>
        <c:crossBetween val="midCat"/>
      </c:valAx>
    </c:plotArea>
    <c:plotVisOnly val="1"/>
    <c:dispBlanksAs val="gap"/>
    <c:showDLblsOverMax val="0"/>
    <c:extLst>
      <c:ext uri="{0b15fc19-7d7d-44ad-8c2d-2c3a37ce22c3}">
        <chartProps xmlns="https://web.wps.cn/et/2018/main" chartId="{84f6c28d-7c33-40c1-95eb-62c28495c0d8}"/>
      </c:ext>
    </c:extLst>
  </c:chart>
  <c:txPr>
    <a:bodyPr/>
    <a:lstStyle/>
    <a:p>
      <a:pPr>
        <a:defRPr lang="ru-RU"/>
      </a:pPr>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0" vertOverflow="ellipsis" vert="horz" wrap="square" anchor="ctr" anchorCtr="1"/>
          <a:lstStyle/>
          <a:p>
            <a:pPr>
              <a:defRPr lang="ru-RU" sz="1800" b="1" i="0" u="none" strike="noStrike" kern="1200" baseline="0">
                <a:solidFill>
                  <a:schemeClr val="tx1"/>
                </a:solidFill>
                <a:latin typeface="+mn-lt"/>
                <a:ea typeface="+mn-ea"/>
                <a:cs typeface="+mn-cs"/>
              </a:defRPr>
            </a:pPr>
            <a:r>
              <a:rPr lang="ru-RU"/>
              <a:t>Индекс рыночных цен, в разах, </a:t>
            </a:r>
            <a:r>
              <a:rPr lang="en-US"/>
              <a:t>X8 </a:t>
            </a:r>
            <a:r>
              <a:rPr lang="ru-RU"/>
              <a:t>График остатков</a:t>
            </a:r>
            <a:endParaRPr lang="ru-RU"/>
          </a:p>
        </c:rich>
      </c:tx>
      <c:layout/>
      <c:overlay val="0"/>
    </c:title>
    <c:autoTitleDeleted val="0"/>
    <c:plotArea>
      <c:layout/>
      <c:scatterChart>
        <c:scatterStyle val="marker"/>
        <c:varyColors val="0"/>
        <c:ser>
          <c:idx val="0"/>
          <c:order val="0"/>
          <c:spPr>
            <a:ln w="19050" cap="rnd" cmpd="sng" algn="ctr">
              <a:noFill/>
              <a:prstDash val="solid"/>
              <a:round/>
            </a:ln>
          </c:spPr>
          <c:dLbls>
            <c:delete val="1"/>
          </c:dLbls>
          <c:xVal>
            <c:numRef>
              <c:f>'Исходные данные 2'!$H$2:$H$31</c:f>
              <c:numCache>
                <c:formatCode>General</c:formatCode>
                <c:ptCount val="30"/>
                <c:pt idx="0">
                  <c:v>1.02</c:v>
                </c:pt>
                <c:pt idx="1">
                  <c:v>1.03</c:v>
                </c:pt>
                <c:pt idx="2">
                  <c:v>1.02</c:v>
                </c:pt>
                <c:pt idx="3">
                  <c:v>1.04</c:v>
                </c:pt>
                <c:pt idx="4">
                  <c:v>1.03</c:v>
                </c:pt>
                <c:pt idx="5">
                  <c:v>1.03</c:v>
                </c:pt>
                <c:pt idx="6">
                  <c:v>1.04</c:v>
                </c:pt>
                <c:pt idx="7">
                  <c:v>1.05</c:v>
                </c:pt>
                <c:pt idx="8">
                  <c:v>1.07</c:v>
                </c:pt>
                <c:pt idx="9">
                  <c:v>1.2</c:v>
                </c:pt>
                <c:pt idx="10">
                  <c:v>1.25</c:v>
                </c:pt>
                <c:pt idx="11">
                  <c:v>1.28</c:v>
                </c:pt>
                <c:pt idx="12">
                  <c:v>1.32</c:v>
                </c:pt>
                <c:pt idx="13">
                  <c:v>1.35</c:v>
                </c:pt>
                <c:pt idx="14">
                  <c:v>1.32</c:v>
                </c:pt>
                <c:pt idx="15">
                  <c:v>1.32</c:v>
                </c:pt>
                <c:pt idx="16">
                  <c:v>1.45</c:v>
                </c:pt>
                <c:pt idx="17">
                  <c:v>1.48</c:v>
                </c:pt>
                <c:pt idx="18">
                  <c:v>1.31</c:v>
                </c:pt>
                <c:pt idx="19">
                  <c:v>1.22</c:v>
                </c:pt>
                <c:pt idx="20">
                  <c:v>1.15</c:v>
                </c:pt>
                <c:pt idx="21">
                  <c:v>1.11</c:v>
                </c:pt>
                <c:pt idx="22">
                  <c:v>1.08</c:v>
                </c:pt>
                <c:pt idx="23">
                  <c:v>1.06</c:v>
                </c:pt>
                <c:pt idx="24">
                  <c:v>1.06</c:v>
                </c:pt>
                <c:pt idx="25">
                  <c:v>1.05</c:v>
                </c:pt>
                <c:pt idx="26">
                  <c:v>1.05</c:v>
                </c:pt>
                <c:pt idx="27">
                  <c:v>1.03</c:v>
                </c:pt>
                <c:pt idx="28">
                  <c:v>1.04</c:v>
                </c:pt>
                <c:pt idx="29">
                  <c:v>1.05</c:v>
                </c:pt>
              </c:numCache>
            </c:numRef>
          </c:xVal>
          <c:yVal>
            <c:numRef>
              <c:f>'Анализ данных 2'!$C$31:$C$60</c:f>
              <c:numCache>
                <c:formatCode>General</c:formatCode>
                <c:ptCount val="30"/>
                <c:pt idx="0">
                  <c:v>-24.0285106351309</c:v>
                </c:pt>
                <c:pt idx="1">
                  <c:v>-56.7303328027307</c:v>
                </c:pt>
                <c:pt idx="2">
                  <c:v>-9.43851389571751</c:v>
                </c:pt>
                <c:pt idx="3">
                  <c:v>-9.13554173994157</c:v>
                </c:pt>
                <c:pt idx="4">
                  <c:v>-10.8446151646488</c:v>
                </c:pt>
                <c:pt idx="5">
                  <c:v>-3.90626848856982</c:v>
                </c:pt>
                <c:pt idx="6">
                  <c:v>9.80473523096379</c:v>
                </c:pt>
                <c:pt idx="7">
                  <c:v>29.4703453145161</c:v>
                </c:pt>
                <c:pt idx="8">
                  <c:v>55.9191433630126</c:v>
                </c:pt>
                <c:pt idx="9">
                  <c:v>25.8673930131806</c:v>
                </c:pt>
                <c:pt idx="10">
                  <c:v>-50.6561166071318</c:v>
                </c:pt>
                <c:pt idx="11">
                  <c:v>6.74505396624897</c:v>
                </c:pt>
                <c:pt idx="12">
                  <c:v>4.97083210285678</c:v>
                </c:pt>
                <c:pt idx="13">
                  <c:v>22.3050642725202</c:v>
                </c:pt>
                <c:pt idx="14">
                  <c:v>20.5131405207374</c:v>
                </c:pt>
                <c:pt idx="15">
                  <c:v>24.613726818962</c:v>
                </c:pt>
                <c:pt idx="16">
                  <c:v>12.5243234030537</c:v>
                </c:pt>
                <c:pt idx="17">
                  <c:v>-57.1763281010955</c:v>
                </c:pt>
                <c:pt idx="18">
                  <c:v>-15.4768074476016</c:v>
                </c:pt>
                <c:pt idx="19">
                  <c:v>4.08266655031321</c:v>
                </c:pt>
                <c:pt idx="20">
                  <c:v>10.9953597519491</c:v>
                </c:pt>
                <c:pt idx="21">
                  <c:v>50.1687658875849</c:v>
                </c:pt>
                <c:pt idx="22">
                  <c:v>12.8617949593618</c:v>
                </c:pt>
                <c:pt idx="23">
                  <c:v>-32.6249677254616</c:v>
                </c:pt>
                <c:pt idx="24">
                  <c:v>-0.18134270061023</c:v>
                </c:pt>
                <c:pt idx="25">
                  <c:v>-22.9626806463948</c:v>
                </c:pt>
                <c:pt idx="26">
                  <c:v>4.08012475392502</c:v>
                </c:pt>
                <c:pt idx="27">
                  <c:v>20.3963694878812</c:v>
                </c:pt>
                <c:pt idx="28">
                  <c:v>-8.30108904321764</c:v>
                </c:pt>
                <c:pt idx="29">
                  <c:v>-13.8557243988112</c:v>
                </c:pt>
              </c:numCache>
            </c:numRef>
          </c:yVal>
          <c:smooth val="0"/>
        </c:ser>
        <c:dLbls>
          <c:showLegendKey val="0"/>
          <c:showVal val="0"/>
          <c:showCatName val="0"/>
          <c:showSerName val="0"/>
          <c:showPercent val="0"/>
          <c:showBubbleSize val="0"/>
        </c:dLbls>
        <c:axId val="1182974175"/>
        <c:axId val="1229391023"/>
      </c:scatterChart>
      <c:valAx>
        <c:axId val="1182974175"/>
        <c:scaling>
          <c:orientation val="minMax"/>
        </c:scaling>
        <c:delete val="0"/>
        <c:axPos val="b"/>
        <c:title>
          <c:tx>
            <c:rich>
              <a:bodyPr rot="0" spcFirstLastPara="0" vertOverflow="ellipsis" vert="horz" wrap="square" anchor="ctr" anchorCtr="1"/>
              <a:lstStyle/>
              <a:p>
                <a:pPr>
                  <a:defRPr lang="ru-RU" sz="1000" b="1" i="0" u="none" strike="noStrike" kern="1200" baseline="0">
                    <a:solidFill>
                      <a:schemeClr val="tx1"/>
                    </a:solidFill>
                    <a:latin typeface="+mn-lt"/>
                    <a:ea typeface="+mn-ea"/>
                    <a:cs typeface="+mn-cs"/>
                  </a:defRPr>
                </a:pPr>
                <a:r>
                  <a:rPr lang="ru-RU"/>
                  <a:t>Индекс рыночных цен, в разах, </a:t>
                </a:r>
                <a:r>
                  <a:rPr lang="en-US"/>
                  <a:t>X8</a:t>
                </a:r>
                <a:endParaRPr lang="en-US"/>
              </a:p>
            </c:rich>
          </c:tx>
          <c:layout/>
          <c:overlay val="0"/>
        </c:title>
        <c:numFmt formatCode="General" sourceLinked="1"/>
        <c:majorTickMark val="out"/>
        <c:minorTickMark val="none"/>
        <c:tickLblPos val="nextTo"/>
        <c:txPr>
          <a:bodyPr rot="-60000000" spcFirstLastPara="0" vertOverflow="ellipsis" vert="horz" wrap="square" anchor="ctr" anchorCtr="1"/>
          <a:lstStyle/>
          <a:p>
            <a:pPr>
              <a:defRPr lang="ru-RU" sz="1000" b="0" i="0" u="none" strike="noStrike" kern="1200" baseline="0">
                <a:solidFill>
                  <a:schemeClr val="tx1"/>
                </a:solidFill>
                <a:latin typeface="+mn-lt"/>
                <a:ea typeface="+mn-ea"/>
                <a:cs typeface="+mn-cs"/>
              </a:defRPr>
            </a:pPr>
          </a:p>
        </c:txPr>
        <c:crossAx val="1229391023"/>
        <c:crosses val="autoZero"/>
        <c:crossBetween val="midCat"/>
      </c:valAx>
      <c:valAx>
        <c:axId val="1229391023"/>
        <c:scaling>
          <c:orientation val="minMax"/>
        </c:scaling>
        <c:delete val="0"/>
        <c:axPos val="l"/>
        <c:title>
          <c:tx>
            <c:rich>
              <a:bodyPr rot="-5400000" spcFirstLastPara="0" vertOverflow="ellipsis" vert="horz" wrap="square" anchor="ctr" anchorCtr="1"/>
              <a:lstStyle/>
              <a:p>
                <a:pPr>
                  <a:defRPr lang="ru-RU" sz="1000" b="1" i="0" u="none" strike="noStrike" kern="1200" baseline="0">
                    <a:solidFill>
                      <a:schemeClr val="tx1"/>
                    </a:solidFill>
                    <a:latin typeface="+mn-lt"/>
                    <a:ea typeface="+mn-ea"/>
                    <a:cs typeface="+mn-cs"/>
                  </a:defRPr>
                </a:pPr>
                <a:r>
                  <a:rPr lang="ru-RU"/>
                  <a:t>Остатки</a:t>
                </a:r>
                <a:endParaRPr lang="ru-RU"/>
              </a:p>
            </c:rich>
          </c:tx>
          <c:layout/>
          <c:overlay val="0"/>
        </c:title>
        <c:numFmt formatCode="General" sourceLinked="1"/>
        <c:majorTickMark val="out"/>
        <c:minorTickMark val="none"/>
        <c:tickLblPos val="nextTo"/>
        <c:txPr>
          <a:bodyPr rot="-60000000" spcFirstLastPara="0" vertOverflow="ellipsis" vert="horz" wrap="square" anchor="ctr" anchorCtr="1"/>
          <a:lstStyle/>
          <a:p>
            <a:pPr>
              <a:defRPr lang="ru-RU" sz="1000" b="0" i="0" u="none" strike="noStrike" kern="1200" baseline="0">
                <a:solidFill>
                  <a:schemeClr val="tx1"/>
                </a:solidFill>
                <a:latin typeface="+mn-lt"/>
                <a:ea typeface="+mn-ea"/>
                <a:cs typeface="+mn-cs"/>
              </a:defRPr>
            </a:pPr>
          </a:p>
        </c:txPr>
        <c:crossAx val="1182974175"/>
        <c:crosses val="autoZero"/>
        <c:crossBetween val="midCat"/>
      </c:valAx>
    </c:plotArea>
    <c:plotVisOnly val="1"/>
    <c:dispBlanksAs val="gap"/>
    <c:showDLblsOverMax val="0"/>
    <c:extLst>
      <c:ext uri="{0b15fc19-7d7d-44ad-8c2d-2c3a37ce22c3}">
        <chartProps xmlns="https://web.wps.cn/et/2018/main" chartId="{d1cf9437-818a-4c63-ae04-7b877cf888b5}"/>
      </c:ext>
    </c:extLst>
  </c:chart>
  <c:txPr>
    <a:bodyPr/>
    <a:lstStyle/>
    <a:p>
      <a:pPr>
        <a:defRPr lang="ru-RU"/>
      </a:pPr>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0" vertOverflow="ellipsis" vert="horz" wrap="square" anchor="ctr" anchorCtr="1"/>
          <a:lstStyle/>
          <a:p>
            <a:pPr>
              <a:defRPr lang="ru-RU" sz="1800" b="1" i="0" u="none" strike="noStrike" kern="1200" baseline="0">
                <a:solidFill>
                  <a:schemeClr val="tx1"/>
                </a:solidFill>
                <a:latin typeface="+mn-lt"/>
                <a:ea typeface="+mn-ea"/>
                <a:cs typeface="+mn-cs"/>
              </a:defRPr>
            </a:pPr>
            <a:r>
              <a:rPr lang="ru-RU"/>
              <a:t>Уровень использования производственных мощностей, %, </a:t>
            </a:r>
            <a:r>
              <a:rPr lang="en-US"/>
              <a:t>X9 </a:t>
            </a:r>
            <a:r>
              <a:rPr lang="ru-RU"/>
              <a:t>График остатков</a:t>
            </a:r>
            <a:endParaRPr lang="ru-RU"/>
          </a:p>
        </c:rich>
      </c:tx>
      <c:layout/>
      <c:overlay val="0"/>
    </c:title>
    <c:autoTitleDeleted val="0"/>
    <c:plotArea>
      <c:layout/>
      <c:scatterChart>
        <c:scatterStyle val="marker"/>
        <c:varyColors val="0"/>
        <c:ser>
          <c:idx val="0"/>
          <c:order val="0"/>
          <c:spPr>
            <a:ln w="19050" cap="rnd" cmpd="sng" algn="ctr">
              <a:noFill/>
              <a:prstDash val="solid"/>
              <a:round/>
            </a:ln>
          </c:spPr>
          <c:dLbls>
            <c:delete val="1"/>
          </c:dLbls>
          <c:xVal>
            <c:numRef>
              <c:f>'Исходные данные 2'!$I$2:$I$31</c:f>
              <c:numCache>
                <c:formatCode>General</c:formatCode>
                <c:ptCount val="30"/>
                <c:pt idx="0">
                  <c:v>96</c:v>
                </c:pt>
                <c:pt idx="1">
                  <c:v>97</c:v>
                </c:pt>
                <c:pt idx="2">
                  <c:v>96</c:v>
                </c:pt>
                <c:pt idx="3">
                  <c:v>93</c:v>
                </c:pt>
                <c:pt idx="4">
                  <c:v>93</c:v>
                </c:pt>
                <c:pt idx="5">
                  <c:v>94</c:v>
                </c:pt>
                <c:pt idx="6">
                  <c:v>95</c:v>
                </c:pt>
                <c:pt idx="7">
                  <c:v>95</c:v>
                </c:pt>
                <c:pt idx="8">
                  <c:v>95</c:v>
                </c:pt>
                <c:pt idx="9">
                  <c:v>95</c:v>
                </c:pt>
                <c:pt idx="10">
                  <c:v>88</c:v>
                </c:pt>
                <c:pt idx="11">
                  <c:v>85</c:v>
                </c:pt>
                <c:pt idx="12">
                  <c:v>72</c:v>
                </c:pt>
                <c:pt idx="13">
                  <c:v>68</c:v>
                </c:pt>
                <c:pt idx="14">
                  <c:v>66</c:v>
                </c:pt>
                <c:pt idx="15">
                  <c:v>62</c:v>
                </c:pt>
                <c:pt idx="16">
                  <c:v>60</c:v>
                </c:pt>
                <c:pt idx="17">
                  <c:v>60</c:v>
                </c:pt>
                <c:pt idx="18">
                  <c:v>70</c:v>
                </c:pt>
                <c:pt idx="19">
                  <c:v>80</c:v>
                </c:pt>
                <c:pt idx="20">
                  <c:v>87</c:v>
                </c:pt>
                <c:pt idx="21">
                  <c:v>89</c:v>
                </c:pt>
                <c:pt idx="22">
                  <c:v>89</c:v>
                </c:pt>
                <c:pt idx="23">
                  <c:v>89</c:v>
                </c:pt>
                <c:pt idx="24">
                  <c:v>87</c:v>
                </c:pt>
                <c:pt idx="25">
                  <c:v>83</c:v>
                </c:pt>
                <c:pt idx="26">
                  <c:v>88</c:v>
                </c:pt>
                <c:pt idx="27">
                  <c:v>96</c:v>
                </c:pt>
                <c:pt idx="28">
                  <c:v>97</c:v>
                </c:pt>
                <c:pt idx="29">
                  <c:v>90</c:v>
                </c:pt>
              </c:numCache>
            </c:numRef>
          </c:xVal>
          <c:yVal>
            <c:numRef>
              <c:f>'Анализ данных 2'!$C$31:$C$60</c:f>
              <c:numCache>
                <c:formatCode>General</c:formatCode>
                <c:ptCount val="30"/>
                <c:pt idx="0">
                  <c:v>-24.0285106351309</c:v>
                </c:pt>
                <c:pt idx="1">
                  <c:v>-56.7303328027307</c:v>
                </c:pt>
                <c:pt idx="2">
                  <c:v>-9.43851389571751</c:v>
                </c:pt>
                <c:pt idx="3">
                  <c:v>-9.13554173994157</c:v>
                </c:pt>
                <c:pt idx="4">
                  <c:v>-10.8446151646488</c:v>
                </c:pt>
                <c:pt idx="5">
                  <c:v>-3.90626848856982</c:v>
                </c:pt>
                <c:pt idx="6">
                  <c:v>9.80473523096379</c:v>
                </c:pt>
                <c:pt idx="7">
                  <c:v>29.4703453145161</c:v>
                </c:pt>
                <c:pt idx="8">
                  <c:v>55.9191433630126</c:v>
                </c:pt>
                <c:pt idx="9">
                  <c:v>25.8673930131806</c:v>
                </c:pt>
                <c:pt idx="10">
                  <c:v>-50.6561166071318</c:v>
                </c:pt>
                <c:pt idx="11">
                  <c:v>6.74505396624897</c:v>
                </c:pt>
                <c:pt idx="12">
                  <c:v>4.97083210285678</c:v>
                </c:pt>
                <c:pt idx="13">
                  <c:v>22.3050642725202</c:v>
                </c:pt>
                <c:pt idx="14">
                  <c:v>20.5131405207374</c:v>
                </c:pt>
                <c:pt idx="15">
                  <c:v>24.613726818962</c:v>
                </c:pt>
                <c:pt idx="16">
                  <c:v>12.5243234030537</c:v>
                </c:pt>
                <c:pt idx="17">
                  <c:v>-57.1763281010955</c:v>
                </c:pt>
                <c:pt idx="18">
                  <c:v>-15.4768074476016</c:v>
                </c:pt>
                <c:pt idx="19">
                  <c:v>4.08266655031321</c:v>
                </c:pt>
                <c:pt idx="20">
                  <c:v>10.9953597519491</c:v>
                </c:pt>
                <c:pt idx="21">
                  <c:v>50.1687658875849</c:v>
                </c:pt>
                <c:pt idx="22">
                  <c:v>12.8617949593618</c:v>
                </c:pt>
                <c:pt idx="23">
                  <c:v>-32.6249677254616</c:v>
                </c:pt>
                <c:pt idx="24">
                  <c:v>-0.18134270061023</c:v>
                </c:pt>
                <c:pt idx="25">
                  <c:v>-22.9626806463948</c:v>
                </c:pt>
                <c:pt idx="26">
                  <c:v>4.08012475392502</c:v>
                </c:pt>
                <c:pt idx="27">
                  <c:v>20.3963694878812</c:v>
                </c:pt>
                <c:pt idx="28">
                  <c:v>-8.30108904321764</c:v>
                </c:pt>
                <c:pt idx="29">
                  <c:v>-13.8557243988112</c:v>
                </c:pt>
              </c:numCache>
            </c:numRef>
          </c:yVal>
          <c:smooth val="0"/>
        </c:ser>
        <c:dLbls>
          <c:showLegendKey val="0"/>
          <c:showVal val="0"/>
          <c:showCatName val="0"/>
          <c:showSerName val="0"/>
          <c:showPercent val="0"/>
          <c:showBubbleSize val="0"/>
        </c:dLbls>
        <c:axId val="1182963375"/>
        <c:axId val="1229396015"/>
      </c:scatterChart>
      <c:valAx>
        <c:axId val="1182963375"/>
        <c:scaling>
          <c:orientation val="minMax"/>
        </c:scaling>
        <c:delete val="0"/>
        <c:axPos val="b"/>
        <c:title>
          <c:tx>
            <c:rich>
              <a:bodyPr rot="0" spcFirstLastPara="0" vertOverflow="ellipsis" vert="horz" wrap="square" anchor="ctr" anchorCtr="1"/>
              <a:lstStyle/>
              <a:p>
                <a:pPr>
                  <a:defRPr lang="ru-RU" sz="1000" b="1" i="0" u="none" strike="noStrike" kern="1200" baseline="0">
                    <a:solidFill>
                      <a:schemeClr val="tx1"/>
                    </a:solidFill>
                    <a:latin typeface="+mn-lt"/>
                    <a:ea typeface="+mn-ea"/>
                    <a:cs typeface="+mn-cs"/>
                  </a:defRPr>
                </a:pPr>
                <a:r>
                  <a:rPr lang="ru-RU"/>
                  <a:t>Уровень использования производственных мощностей, %, </a:t>
                </a:r>
                <a:r>
                  <a:rPr lang="en-US"/>
                  <a:t>X9</a:t>
                </a:r>
                <a:endParaRPr lang="en-US"/>
              </a:p>
            </c:rich>
          </c:tx>
          <c:layout/>
          <c:overlay val="0"/>
        </c:title>
        <c:numFmt formatCode="General" sourceLinked="1"/>
        <c:majorTickMark val="out"/>
        <c:minorTickMark val="none"/>
        <c:tickLblPos val="nextTo"/>
        <c:txPr>
          <a:bodyPr rot="-60000000" spcFirstLastPara="0" vertOverflow="ellipsis" vert="horz" wrap="square" anchor="ctr" anchorCtr="1"/>
          <a:lstStyle/>
          <a:p>
            <a:pPr>
              <a:defRPr lang="ru-RU" sz="1000" b="0" i="0" u="none" strike="noStrike" kern="1200" baseline="0">
                <a:solidFill>
                  <a:schemeClr val="tx1"/>
                </a:solidFill>
                <a:latin typeface="+mn-lt"/>
                <a:ea typeface="+mn-ea"/>
                <a:cs typeface="+mn-cs"/>
              </a:defRPr>
            </a:pPr>
          </a:p>
        </c:txPr>
        <c:crossAx val="1229396015"/>
        <c:crosses val="autoZero"/>
        <c:crossBetween val="midCat"/>
      </c:valAx>
      <c:valAx>
        <c:axId val="1229396015"/>
        <c:scaling>
          <c:orientation val="minMax"/>
        </c:scaling>
        <c:delete val="0"/>
        <c:axPos val="l"/>
        <c:title>
          <c:tx>
            <c:rich>
              <a:bodyPr rot="-5400000" spcFirstLastPara="0" vertOverflow="ellipsis" vert="horz" wrap="square" anchor="ctr" anchorCtr="1"/>
              <a:lstStyle/>
              <a:p>
                <a:pPr>
                  <a:defRPr lang="ru-RU" sz="1000" b="1" i="0" u="none" strike="noStrike" kern="1200" baseline="0">
                    <a:solidFill>
                      <a:schemeClr val="tx1"/>
                    </a:solidFill>
                    <a:latin typeface="+mn-lt"/>
                    <a:ea typeface="+mn-ea"/>
                    <a:cs typeface="+mn-cs"/>
                  </a:defRPr>
                </a:pPr>
                <a:r>
                  <a:rPr lang="ru-RU"/>
                  <a:t>Остатки</a:t>
                </a:r>
                <a:endParaRPr lang="ru-RU"/>
              </a:p>
            </c:rich>
          </c:tx>
          <c:layout/>
          <c:overlay val="0"/>
        </c:title>
        <c:numFmt formatCode="General" sourceLinked="1"/>
        <c:majorTickMark val="out"/>
        <c:minorTickMark val="none"/>
        <c:tickLblPos val="nextTo"/>
        <c:txPr>
          <a:bodyPr rot="-60000000" spcFirstLastPara="0" vertOverflow="ellipsis" vert="horz" wrap="square" anchor="ctr" anchorCtr="1"/>
          <a:lstStyle/>
          <a:p>
            <a:pPr>
              <a:defRPr lang="ru-RU" sz="1000" b="0" i="0" u="none" strike="noStrike" kern="1200" baseline="0">
                <a:solidFill>
                  <a:schemeClr val="tx1"/>
                </a:solidFill>
                <a:latin typeface="+mn-lt"/>
                <a:ea typeface="+mn-ea"/>
                <a:cs typeface="+mn-cs"/>
              </a:defRPr>
            </a:pPr>
          </a:p>
        </c:txPr>
        <c:crossAx val="1182963375"/>
        <c:crosses val="autoZero"/>
        <c:crossBetween val="midCat"/>
      </c:valAx>
    </c:plotArea>
    <c:plotVisOnly val="1"/>
    <c:dispBlanksAs val="gap"/>
    <c:showDLblsOverMax val="0"/>
    <c:extLst>
      <c:ext uri="{0b15fc19-7d7d-44ad-8c2d-2c3a37ce22c3}">
        <chartProps xmlns="https://web.wps.cn/et/2018/main" chartId="{bed584d3-4006-4c0c-9757-d4f6f3c51568}"/>
      </c:ext>
    </c:extLst>
  </c:chart>
  <c:txPr>
    <a:bodyPr/>
    <a:lstStyle/>
    <a:p>
      <a:pPr>
        <a:defRPr lang="ru-RU"/>
      </a:pPr>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0" vertOverflow="ellipsis" vert="horz" wrap="square" anchor="ctr" anchorCtr="1"/>
          <a:lstStyle/>
          <a:p>
            <a:pPr>
              <a:defRPr lang="ru-RU" sz="1800" b="1" i="0" u="none" strike="noStrike" kern="1200" baseline="0">
                <a:solidFill>
                  <a:schemeClr val="tx1"/>
                </a:solidFill>
                <a:latin typeface="+mn-lt"/>
                <a:ea typeface="+mn-ea"/>
                <a:cs typeface="+mn-cs"/>
              </a:defRPr>
            </a:pPr>
            <a:r>
              <a:rPr lang="ru-RU"/>
              <a:t>Инвестиции в основной капитал, млн руб., </a:t>
            </a:r>
            <a:r>
              <a:rPr lang="en-US"/>
              <a:t>X1 </a:t>
            </a:r>
            <a:r>
              <a:rPr lang="ru-RU"/>
              <a:t>График подбора</a:t>
            </a:r>
            <a:endParaRPr lang="ru-RU"/>
          </a:p>
        </c:rich>
      </c:tx>
      <c:layout/>
      <c:overlay val="0"/>
    </c:title>
    <c:autoTitleDeleted val="0"/>
    <c:plotArea>
      <c:layout/>
      <c:scatterChart>
        <c:scatterStyle val="marker"/>
        <c:varyColors val="0"/>
        <c:ser>
          <c:idx val="0"/>
          <c:order val="0"/>
          <c:tx>
            <c:strRef>
              <c:f>"Прибыль, млн руб., Y"</c:f>
              <c:strCache>
                <c:ptCount val="1"/>
                <c:pt idx="0">
                  <c:v>Прибыль, млн руб., Y</c:v>
                </c:pt>
              </c:strCache>
            </c:strRef>
          </c:tx>
          <c:spPr>
            <a:ln w="19050" cap="rnd" cmpd="sng" algn="ctr">
              <a:noFill/>
              <a:prstDash val="solid"/>
              <a:round/>
            </a:ln>
          </c:spPr>
          <c:dLbls>
            <c:delete val="1"/>
          </c:dLbls>
          <c:xVal>
            <c:numRef>
              <c:f>'Исходные данные 2'!$C$2:$C$31</c:f>
              <c:numCache>
                <c:formatCode>General</c:formatCode>
                <c:ptCount val="30"/>
                <c:pt idx="0">
                  <c:v>145</c:v>
                </c:pt>
                <c:pt idx="1">
                  <c:v>150</c:v>
                </c:pt>
                <c:pt idx="2">
                  <c:v>160</c:v>
                </c:pt>
                <c:pt idx="3">
                  <c:v>165</c:v>
                </c:pt>
                <c:pt idx="4">
                  <c:v>165</c:v>
                </c:pt>
                <c:pt idx="5">
                  <c:v>164</c:v>
                </c:pt>
                <c:pt idx="6">
                  <c:v>170</c:v>
                </c:pt>
                <c:pt idx="7">
                  <c:v>175</c:v>
                </c:pt>
                <c:pt idx="8">
                  <c:v>180</c:v>
                </c:pt>
                <c:pt idx="9">
                  <c:v>192</c:v>
                </c:pt>
                <c:pt idx="10">
                  <c:v>195</c:v>
                </c:pt>
                <c:pt idx="11">
                  <c:v>196</c:v>
                </c:pt>
                <c:pt idx="12">
                  <c:v>199</c:v>
                </c:pt>
                <c:pt idx="13">
                  <c:v>200</c:v>
                </c:pt>
                <c:pt idx="14">
                  <c:v>200</c:v>
                </c:pt>
                <c:pt idx="15">
                  <c:v>205</c:v>
                </c:pt>
                <c:pt idx="16">
                  <c:v>210</c:v>
                </c:pt>
                <c:pt idx="17">
                  <c:v>220</c:v>
                </c:pt>
                <c:pt idx="18">
                  <c:v>230</c:v>
                </c:pt>
                <c:pt idx="19">
                  <c:v>240</c:v>
                </c:pt>
                <c:pt idx="20">
                  <c:v>250</c:v>
                </c:pt>
                <c:pt idx="21">
                  <c:v>260</c:v>
                </c:pt>
                <c:pt idx="22">
                  <c:v>270</c:v>
                </c:pt>
                <c:pt idx="23">
                  <c:v>275</c:v>
                </c:pt>
                <c:pt idx="24">
                  <c:v>280</c:v>
                </c:pt>
                <c:pt idx="25">
                  <c:v>290</c:v>
                </c:pt>
                <c:pt idx="26">
                  <c:v>295</c:v>
                </c:pt>
                <c:pt idx="27">
                  <c:v>300</c:v>
                </c:pt>
                <c:pt idx="28">
                  <c:v>380</c:v>
                </c:pt>
                <c:pt idx="29">
                  <c:v>410</c:v>
                </c:pt>
              </c:numCache>
            </c:numRef>
          </c:xVal>
          <c:yVal>
            <c:numRef>
              <c:f>'Исходные данные 2'!$B$2:$B$31</c:f>
              <c:numCache>
                <c:formatCode>General</c:formatCode>
                <c:ptCount val="30"/>
                <c:pt idx="0">
                  <c:v>335</c:v>
                </c:pt>
                <c:pt idx="1">
                  <c:v>336</c:v>
                </c:pt>
                <c:pt idx="2">
                  <c:v>388</c:v>
                </c:pt>
                <c:pt idx="3">
                  <c:v>420</c:v>
                </c:pt>
                <c:pt idx="4">
                  <c:v>450</c:v>
                </c:pt>
                <c:pt idx="5">
                  <c:v>450</c:v>
                </c:pt>
                <c:pt idx="6">
                  <c:v>500</c:v>
                </c:pt>
                <c:pt idx="7">
                  <c:v>520</c:v>
                </c:pt>
                <c:pt idx="8">
                  <c:v>550</c:v>
                </c:pt>
                <c:pt idx="9">
                  <c:v>600</c:v>
                </c:pt>
                <c:pt idx="10">
                  <c:v>605</c:v>
                </c:pt>
                <c:pt idx="11">
                  <c:v>620</c:v>
                </c:pt>
                <c:pt idx="12">
                  <c:v>630</c:v>
                </c:pt>
                <c:pt idx="13">
                  <c:v>655</c:v>
                </c:pt>
                <c:pt idx="14">
                  <c:v>690</c:v>
                </c:pt>
                <c:pt idx="15">
                  <c:v>690</c:v>
                </c:pt>
                <c:pt idx="16">
                  <c:v>710</c:v>
                </c:pt>
                <c:pt idx="17">
                  <c:v>720</c:v>
                </c:pt>
                <c:pt idx="18">
                  <c:v>745</c:v>
                </c:pt>
                <c:pt idx="19">
                  <c:v>760</c:v>
                </c:pt>
                <c:pt idx="20">
                  <c:v>780</c:v>
                </c:pt>
                <c:pt idx="21">
                  <c:v>840</c:v>
                </c:pt>
                <c:pt idx="22">
                  <c:v>845</c:v>
                </c:pt>
                <c:pt idx="23">
                  <c:v>850</c:v>
                </c:pt>
                <c:pt idx="24">
                  <c:v>860</c:v>
                </c:pt>
                <c:pt idx="25">
                  <c:v>890</c:v>
                </c:pt>
                <c:pt idx="26">
                  <c:v>940</c:v>
                </c:pt>
                <c:pt idx="27">
                  <c:v>960</c:v>
                </c:pt>
                <c:pt idx="28">
                  <c:v>980</c:v>
                </c:pt>
                <c:pt idx="29">
                  <c:v>990</c:v>
                </c:pt>
              </c:numCache>
            </c:numRef>
          </c:yVal>
          <c:smooth val="0"/>
        </c:ser>
        <c:ser>
          <c:idx val="1"/>
          <c:order val="1"/>
          <c:tx>
            <c:strRef>
              <c:f>"Предсказанное Прибыль, млн руб., Y"</c:f>
              <c:strCache>
                <c:ptCount val="1"/>
                <c:pt idx="0">
                  <c:v>Предсказанное Прибыль, млн руб., Y</c:v>
                </c:pt>
              </c:strCache>
            </c:strRef>
          </c:tx>
          <c:spPr>
            <a:ln w="19050" cap="rnd" cmpd="sng" algn="ctr">
              <a:noFill/>
              <a:prstDash val="solid"/>
              <a:round/>
            </a:ln>
          </c:spPr>
          <c:dLbls>
            <c:delete val="1"/>
          </c:dLbls>
          <c:xVal>
            <c:numRef>
              <c:f>'Исходные данные 2'!$C$2:$C$31</c:f>
              <c:numCache>
                <c:formatCode>General</c:formatCode>
                <c:ptCount val="30"/>
                <c:pt idx="0">
                  <c:v>145</c:v>
                </c:pt>
                <c:pt idx="1">
                  <c:v>150</c:v>
                </c:pt>
                <c:pt idx="2">
                  <c:v>160</c:v>
                </c:pt>
                <c:pt idx="3">
                  <c:v>165</c:v>
                </c:pt>
                <c:pt idx="4">
                  <c:v>165</c:v>
                </c:pt>
                <c:pt idx="5">
                  <c:v>164</c:v>
                </c:pt>
                <c:pt idx="6">
                  <c:v>170</c:v>
                </c:pt>
                <c:pt idx="7">
                  <c:v>175</c:v>
                </c:pt>
                <c:pt idx="8">
                  <c:v>180</c:v>
                </c:pt>
                <c:pt idx="9">
                  <c:v>192</c:v>
                </c:pt>
                <c:pt idx="10">
                  <c:v>195</c:v>
                </c:pt>
                <c:pt idx="11">
                  <c:v>196</c:v>
                </c:pt>
                <c:pt idx="12">
                  <c:v>199</c:v>
                </c:pt>
                <c:pt idx="13">
                  <c:v>200</c:v>
                </c:pt>
                <c:pt idx="14">
                  <c:v>200</c:v>
                </c:pt>
                <c:pt idx="15">
                  <c:v>205</c:v>
                </c:pt>
                <c:pt idx="16">
                  <c:v>210</c:v>
                </c:pt>
                <c:pt idx="17">
                  <c:v>220</c:v>
                </c:pt>
                <c:pt idx="18">
                  <c:v>230</c:v>
                </c:pt>
                <c:pt idx="19">
                  <c:v>240</c:v>
                </c:pt>
                <c:pt idx="20">
                  <c:v>250</c:v>
                </c:pt>
                <c:pt idx="21">
                  <c:v>260</c:v>
                </c:pt>
                <c:pt idx="22">
                  <c:v>270</c:v>
                </c:pt>
                <c:pt idx="23">
                  <c:v>275</c:v>
                </c:pt>
                <c:pt idx="24">
                  <c:v>280</c:v>
                </c:pt>
                <c:pt idx="25">
                  <c:v>290</c:v>
                </c:pt>
                <c:pt idx="26">
                  <c:v>295</c:v>
                </c:pt>
                <c:pt idx="27">
                  <c:v>300</c:v>
                </c:pt>
                <c:pt idx="28">
                  <c:v>380</c:v>
                </c:pt>
                <c:pt idx="29">
                  <c:v>410</c:v>
                </c:pt>
              </c:numCache>
            </c:numRef>
          </c:xVal>
          <c:yVal>
            <c:numRef>
              <c:f>'Анализ данных 2'!$B$31:$B$60</c:f>
              <c:numCache>
                <c:formatCode>General</c:formatCode>
                <c:ptCount val="30"/>
                <c:pt idx="0">
                  <c:v>359.028510635131</c:v>
                </c:pt>
                <c:pt idx="1">
                  <c:v>392.730332802731</c:v>
                </c:pt>
                <c:pt idx="2">
                  <c:v>397.438513895718</c:v>
                </c:pt>
                <c:pt idx="3">
                  <c:v>429.135541739942</c:v>
                </c:pt>
                <c:pt idx="4">
                  <c:v>460.844615164649</c:v>
                </c:pt>
                <c:pt idx="5">
                  <c:v>453.90626848857</c:v>
                </c:pt>
                <c:pt idx="6">
                  <c:v>490.195264769036</c:v>
                </c:pt>
                <c:pt idx="7">
                  <c:v>490.529654685484</c:v>
                </c:pt>
                <c:pt idx="8">
                  <c:v>494.080856636987</c:v>
                </c:pt>
                <c:pt idx="9">
                  <c:v>574.132606986819</c:v>
                </c:pt>
                <c:pt idx="10">
                  <c:v>655.656116607132</c:v>
                </c:pt>
                <c:pt idx="11">
                  <c:v>613.254946033751</c:v>
                </c:pt>
                <c:pt idx="12">
                  <c:v>625.029167897143</c:v>
                </c:pt>
                <c:pt idx="13">
                  <c:v>632.69493572748</c:v>
                </c:pt>
                <c:pt idx="14">
                  <c:v>669.486859479263</c:v>
                </c:pt>
                <c:pt idx="15">
                  <c:v>665.386273181038</c:v>
                </c:pt>
                <c:pt idx="16">
                  <c:v>697.475676596946</c:v>
                </c:pt>
                <c:pt idx="17">
                  <c:v>777.176328101095</c:v>
                </c:pt>
                <c:pt idx="18">
                  <c:v>760.476807447602</c:v>
                </c:pt>
                <c:pt idx="19">
                  <c:v>755.917333449687</c:v>
                </c:pt>
                <c:pt idx="20">
                  <c:v>769.004640248051</c:v>
                </c:pt>
                <c:pt idx="21">
                  <c:v>789.831234112415</c:v>
                </c:pt>
                <c:pt idx="22">
                  <c:v>832.138205040638</c:v>
                </c:pt>
                <c:pt idx="23">
                  <c:v>882.624967725462</c:v>
                </c:pt>
                <c:pt idx="24">
                  <c:v>860.18134270061</c:v>
                </c:pt>
                <c:pt idx="25">
                  <c:v>912.962680646395</c:v>
                </c:pt>
                <c:pt idx="26">
                  <c:v>935.919875246075</c:v>
                </c:pt>
                <c:pt idx="27">
                  <c:v>939.603630512119</c:v>
                </c:pt>
                <c:pt idx="28">
                  <c:v>988.301089043218</c:v>
                </c:pt>
                <c:pt idx="29">
                  <c:v>1003.85572439881</c:v>
                </c:pt>
              </c:numCache>
            </c:numRef>
          </c:yVal>
          <c:smooth val="0"/>
        </c:ser>
        <c:dLbls>
          <c:showLegendKey val="0"/>
          <c:showVal val="0"/>
          <c:showCatName val="0"/>
          <c:showSerName val="0"/>
          <c:showPercent val="0"/>
          <c:showBubbleSize val="0"/>
        </c:dLbls>
        <c:axId val="1182965375"/>
        <c:axId val="1229391439"/>
      </c:scatterChart>
      <c:valAx>
        <c:axId val="1182965375"/>
        <c:scaling>
          <c:orientation val="minMax"/>
        </c:scaling>
        <c:delete val="0"/>
        <c:axPos val="b"/>
        <c:title>
          <c:tx>
            <c:rich>
              <a:bodyPr rot="0" spcFirstLastPara="0" vertOverflow="ellipsis" vert="horz" wrap="square" anchor="ctr" anchorCtr="1"/>
              <a:lstStyle/>
              <a:p>
                <a:pPr>
                  <a:defRPr lang="ru-RU" sz="1000" b="1" i="0" u="none" strike="noStrike" kern="1200" baseline="0">
                    <a:solidFill>
                      <a:schemeClr val="tx1"/>
                    </a:solidFill>
                    <a:latin typeface="+mn-lt"/>
                    <a:ea typeface="+mn-ea"/>
                    <a:cs typeface="+mn-cs"/>
                  </a:defRPr>
                </a:pPr>
                <a:r>
                  <a:rPr lang="ru-RU"/>
                  <a:t>Инвестиции в основной капитал, млн руб., </a:t>
                </a:r>
                <a:r>
                  <a:rPr lang="en-US"/>
                  <a:t>X1</a:t>
                </a:r>
                <a:endParaRPr lang="en-US"/>
              </a:p>
            </c:rich>
          </c:tx>
          <c:layout/>
          <c:overlay val="0"/>
        </c:title>
        <c:numFmt formatCode="General" sourceLinked="1"/>
        <c:majorTickMark val="out"/>
        <c:minorTickMark val="none"/>
        <c:tickLblPos val="nextTo"/>
        <c:txPr>
          <a:bodyPr rot="-60000000" spcFirstLastPara="0" vertOverflow="ellipsis" vert="horz" wrap="square" anchor="ctr" anchorCtr="1"/>
          <a:lstStyle/>
          <a:p>
            <a:pPr>
              <a:defRPr lang="ru-RU" sz="1000" b="0" i="0" u="none" strike="noStrike" kern="1200" baseline="0">
                <a:solidFill>
                  <a:schemeClr val="tx1"/>
                </a:solidFill>
                <a:latin typeface="+mn-lt"/>
                <a:ea typeface="+mn-ea"/>
                <a:cs typeface="+mn-cs"/>
              </a:defRPr>
            </a:pPr>
          </a:p>
        </c:txPr>
        <c:crossAx val="1229391439"/>
        <c:crosses val="autoZero"/>
        <c:crossBetween val="midCat"/>
      </c:valAx>
      <c:valAx>
        <c:axId val="1229391439"/>
        <c:scaling>
          <c:orientation val="minMax"/>
        </c:scaling>
        <c:delete val="0"/>
        <c:axPos val="l"/>
        <c:title>
          <c:tx>
            <c:rich>
              <a:bodyPr rot="-5400000" spcFirstLastPara="0" vertOverflow="ellipsis" vert="horz" wrap="square" anchor="ctr" anchorCtr="1"/>
              <a:lstStyle/>
              <a:p>
                <a:pPr>
                  <a:defRPr lang="ru-RU" sz="1000" b="1" i="0" u="none" strike="noStrike" kern="1200" baseline="0">
                    <a:solidFill>
                      <a:schemeClr val="tx1"/>
                    </a:solidFill>
                    <a:latin typeface="+mn-lt"/>
                    <a:ea typeface="+mn-ea"/>
                    <a:cs typeface="+mn-cs"/>
                  </a:defRPr>
                </a:pPr>
                <a:r>
                  <a:rPr lang="ru-RU"/>
                  <a:t>Прибыль, млн руб., </a:t>
                </a:r>
                <a:r>
                  <a:rPr lang="en-US"/>
                  <a:t>Y</a:t>
                </a:r>
                <a:endParaRPr lang="en-US"/>
              </a:p>
            </c:rich>
          </c:tx>
          <c:layout/>
          <c:overlay val="0"/>
        </c:title>
        <c:numFmt formatCode="General" sourceLinked="1"/>
        <c:majorTickMark val="out"/>
        <c:minorTickMark val="none"/>
        <c:tickLblPos val="nextTo"/>
        <c:txPr>
          <a:bodyPr rot="-60000000" spcFirstLastPara="0" vertOverflow="ellipsis" vert="horz" wrap="square" anchor="ctr" anchorCtr="1"/>
          <a:lstStyle/>
          <a:p>
            <a:pPr>
              <a:defRPr lang="ru-RU" sz="1000" b="0" i="0" u="none" strike="noStrike" kern="1200" baseline="0">
                <a:solidFill>
                  <a:schemeClr val="tx1"/>
                </a:solidFill>
                <a:latin typeface="+mn-lt"/>
                <a:ea typeface="+mn-ea"/>
                <a:cs typeface="+mn-cs"/>
              </a:defRPr>
            </a:pPr>
          </a:p>
        </c:txPr>
        <c:crossAx val="1182965375"/>
        <c:crosses val="autoZero"/>
        <c:crossBetween val="midCat"/>
      </c:valAx>
    </c:plotArea>
    <c:legend>
      <c:legendPos val="r"/>
      <c:layout/>
      <c:overlay val="0"/>
      <c:txPr>
        <a:bodyPr rot="0" spcFirstLastPara="0" vertOverflow="ellipsis" vert="horz" wrap="square" anchor="ctr" anchorCtr="1"/>
        <a:lstStyle/>
        <a:p>
          <a:pPr>
            <a:defRPr lang="ru-RU" sz="1000" b="0" i="0" u="none" strike="noStrike" kern="1200" baseline="0">
              <a:solidFill>
                <a:schemeClr val="tx1"/>
              </a:solidFill>
              <a:latin typeface="+mn-lt"/>
              <a:ea typeface="+mn-ea"/>
              <a:cs typeface="+mn-cs"/>
            </a:defRPr>
          </a:pPr>
        </a:p>
      </c:txPr>
    </c:legend>
    <c:plotVisOnly val="1"/>
    <c:dispBlanksAs val="gap"/>
    <c:showDLblsOverMax val="0"/>
    <c:extLst>
      <c:ext uri="{0b15fc19-7d7d-44ad-8c2d-2c3a37ce22c3}">
        <chartProps xmlns="https://web.wps.cn/et/2018/main" chartId="{c2c497a9-e979-4ea6-b240-ac5020c3d259}"/>
      </c:ext>
    </c:extLst>
  </c:chart>
  <c:txPr>
    <a:bodyPr/>
    <a:lstStyle/>
    <a:p>
      <a:pPr>
        <a:defRPr lang="ru-RU"/>
      </a:pPr>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0" vertOverflow="ellipsis" vert="horz" wrap="square" anchor="ctr" anchorCtr="1"/>
          <a:lstStyle/>
          <a:p>
            <a:pPr>
              <a:defRPr lang="ru-RU" sz="1800" b="1" i="0" u="none" strike="noStrike" kern="1200" baseline="0">
                <a:solidFill>
                  <a:schemeClr val="tx1"/>
                </a:solidFill>
                <a:latin typeface="+mn-lt"/>
                <a:ea typeface="+mn-ea"/>
                <a:cs typeface="+mn-cs"/>
              </a:defRPr>
            </a:pPr>
            <a:r>
              <a:rPr lang="ru-RU"/>
              <a:t>Среднесписочная численность работников, чел., </a:t>
            </a:r>
            <a:r>
              <a:rPr lang="en-US"/>
              <a:t>X2 </a:t>
            </a:r>
            <a:r>
              <a:rPr lang="ru-RU"/>
              <a:t>График подбора</a:t>
            </a:r>
            <a:endParaRPr lang="ru-RU"/>
          </a:p>
        </c:rich>
      </c:tx>
      <c:layout/>
      <c:overlay val="0"/>
    </c:title>
    <c:autoTitleDeleted val="0"/>
    <c:plotArea>
      <c:layout/>
      <c:scatterChart>
        <c:scatterStyle val="marker"/>
        <c:varyColors val="0"/>
        <c:ser>
          <c:idx val="0"/>
          <c:order val="0"/>
          <c:tx>
            <c:strRef>
              <c:f>"Прибыль, млн руб., Y"</c:f>
              <c:strCache>
                <c:ptCount val="1"/>
                <c:pt idx="0">
                  <c:v>Прибыль, млн руб., Y</c:v>
                </c:pt>
              </c:strCache>
            </c:strRef>
          </c:tx>
          <c:spPr>
            <a:ln w="19050" cap="rnd" cmpd="sng" algn="ctr">
              <a:noFill/>
              <a:prstDash val="solid"/>
              <a:round/>
            </a:ln>
          </c:spPr>
          <c:dLbls>
            <c:delete val="1"/>
          </c:dLbls>
          <c:xVal>
            <c:numRef>
              <c:f>'Исходные данные 2'!$D$2:$D$31</c:f>
              <c:numCache>
                <c:formatCode>General</c:formatCode>
                <c:ptCount val="30"/>
                <c:pt idx="0">
                  <c:v>500</c:v>
                </c:pt>
                <c:pt idx="1">
                  <c:v>510</c:v>
                </c:pt>
                <c:pt idx="2">
                  <c:v>509</c:v>
                </c:pt>
                <c:pt idx="3">
                  <c:v>515</c:v>
                </c:pt>
                <c:pt idx="4">
                  <c:v>520</c:v>
                </c:pt>
                <c:pt idx="5">
                  <c:v>519</c:v>
                </c:pt>
                <c:pt idx="6">
                  <c:v>525</c:v>
                </c:pt>
                <c:pt idx="7">
                  <c:v>526</c:v>
                </c:pt>
                <c:pt idx="8">
                  <c:v>530</c:v>
                </c:pt>
                <c:pt idx="9">
                  <c:v>550</c:v>
                </c:pt>
                <c:pt idx="10">
                  <c:v>570</c:v>
                </c:pt>
                <c:pt idx="11">
                  <c:v>560</c:v>
                </c:pt>
                <c:pt idx="12">
                  <c:v>555</c:v>
                </c:pt>
                <c:pt idx="13">
                  <c:v>555</c:v>
                </c:pt>
                <c:pt idx="14">
                  <c:v>560</c:v>
                </c:pt>
                <c:pt idx="15">
                  <c:v>560</c:v>
                </c:pt>
                <c:pt idx="16">
                  <c:v>562</c:v>
                </c:pt>
                <c:pt idx="17">
                  <c:v>580</c:v>
                </c:pt>
                <c:pt idx="18">
                  <c:v>581</c:v>
                </c:pt>
                <c:pt idx="19">
                  <c:v>582</c:v>
                </c:pt>
                <c:pt idx="20">
                  <c:v>585</c:v>
                </c:pt>
                <c:pt idx="21">
                  <c:v>590</c:v>
                </c:pt>
                <c:pt idx="22">
                  <c:v>601</c:v>
                </c:pt>
                <c:pt idx="23">
                  <c:v>612</c:v>
                </c:pt>
                <c:pt idx="24">
                  <c:v>610</c:v>
                </c:pt>
                <c:pt idx="25">
                  <c:v>611</c:v>
                </c:pt>
                <c:pt idx="26">
                  <c:v>615</c:v>
                </c:pt>
                <c:pt idx="27">
                  <c:v>620</c:v>
                </c:pt>
                <c:pt idx="28">
                  <c:v>621</c:v>
                </c:pt>
                <c:pt idx="29">
                  <c:v>622</c:v>
                </c:pt>
              </c:numCache>
            </c:numRef>
          </c:xVal>
          <c:yVal>
            <c:numRef>
              <c:f>'Исходные данные 2'!$B$2:$B$31</c:f>
              <c:numCache>
                <c:formatCode>General</c:formatCode>
                <c:ptCount val="30"/>
                <c:pt idx="0">
                  <c:v>335</c:v>
                </c:pt>
                <c:pt idx="1">
                  <c:v>336</c:v>
                </c:pt>
                <c:pt idx="2">
                  <c:v>388</c:v>
                </c:pt>
                <c:pt idx="3">
                  <c:v>420</c:v>
                </c:pt>
                <c:pt idx="4">
                  <c:v>450</c:v>
                </c:pt>
                <c:pt idx="5">
                  <c:v>450</c:v>
                </c:pt>
                <c:pt idx="6">
                  <c:v>500</c:v>
                </c:pt>
                <c:pt idx="7">
                  <c:v>520</c:v>
                </c:pt>
                <c:pt idx="8">
                  <c:v>550</c:v>
                </c:pt>
                <c:pt idx="9">
                  <c:v>600</c:v>
                </c:pt>
                <c:pt idx="10">
                  <c:v>605</c:v>
                </c:pt>
                <c:pt idx="11">
                  <c:v>620</c:v>
                </c:pt>
                <c:pt idx="12">
                  <c:v>630</c:v>
                </c:pt>
                <c:pt idx="13">
                  <c:v>655</c:v>
                </c:pt>
                <c:pt idx="14">
                  <c:v>690</c:v>
                </c:pt>
                <c:pt idx="15">
                  <c:v>690</c:v>
                </c:pt>
                <c:pt idx="16">
                  <c:v>710</c:v>
                </c:pt>
                <c:pt idx="17">
                  <c:v>720</c:v>
                </c:pt>
                <c:pt idx="18">
                  <c:v>745</c:v>
                </c:pt>
                <c:pt idx="19">
                  <c:v>760</c:v>
                </c:pt>
                <c:pt idx="20">
                  <c:v>780</c:v>
                </c:pt>
                <c:pt idx="21">
                  <c:v>840</c:v>
                </c:pt>
                <c:pt idx="22">
                  <c:v>845</c:v>
                </c:pt>
                <c:pt idx="23">
                  <c:v>850</c:v>
                </c:pt>
                <c:pt idx="24">
                  <c:v>860</c:v>
                </c:pt>
                <c:pt idx="25">
                  <c:v>890</c:v>
                </c:pt>
                <c:pt idx="26">
                  <c:v>940</c:v>
                </c:pt>
                <c:pt idx="27">
                  <c:v>960</c:v>
                </c:pt>
                <c:pt idx="28">
                  <c:v>980</c:v>
                </c:pt>
                <c:pt idx="29">
                  <c:v>990</c:v>
                </c:pt>
              </c:numCache>
            </c:numRef>
          </c:yVal>
          <c:smooth val="0"/>
        </c:ser>
        <c:ser>
          <c:idx val="1"/>
          <c:order val="1"/>
          <c:tx>
            <c:strRef>
              <c:f>"Предсказанное Прибыль, млн руб., Y"</c:f>
              <c:strCache>
                <c:ptCount val="1"/>
                <c:pt idx="0">
                  <c:v>Предсказанное Прибыль, млн руб., Y</c:v>
                </c:pt>
              </c:strCache>
            </c:strRef>
          </c:tx>
          <c:spPr>
            <a:ln w="19050" cap="rnd" cmpd="sng" algn="ctr">
              <a:noFill/>
              <a:prstDash val="solid"/>
              <a:round/>
            </a:ln>
          </c:spPr>
          <c:dLbls>
            <c:delete val="1"/>
          </c:dLbls>
          <c:xVal>
            <c:numRef>
              <c:f>'Исходные данные 2'!$D$2:$D$31</c:f>
              <c:numCache>
                <c:formatCode>General</c:formatCode>
                <c:ptCount val="30"/>
                <c:pt idx="0">
                  <c:v>500</c:v>
                </c:pt>
                <c:pt idx="1">
                  <c:v>510</c:v>
                </c:pt>
                <c:pt idx="2">
                  <c:v>509</c:v>
                </c:pt>
                <c:pt idx="3">
                  <c:v>515</c:v>
                </c:pt>
                <c:pt idx="4">
                  <c:v>520</c:v>
                </c:pt>
                <c:pt idx="5">
                  <c:v>519</c:v>
                </c:pt>
                <c:pt idx="6">
                  <c:v>525</c:v>
                </c:pt>
                <c:pt idx="7">
                  <c:v>526</c:v>
                </c:pt>
                <c:pt idx="8">
                  <c:v>530</c:v>
                </c:pt>
                <c:pt idx="9">
                  <c:v>550</c:v>
                </c:pt>
                <c:pt idx="10">
                  <c:v>570</c:v>
                </c:pt>
                <c:pt idx="11">
                  <c:v>560</c:v>
                </c:pt>
                <c:pt idx="12">
                  <c:v>555</c:v>
                </c:pt>
                <c:pt idx="13">
                  <c:v>555</c:v>
                </c:pt>
                <c:pt idx="14">
                  <c:v>560</c:v>
                </c:pt>
                <c:pt idx="15">
                  <c:v>560</c:v>
                </c:pt>
                <c:pt idx="16">
                  <c:v>562</c:v>
                </c:pt>
                <c:pt idx="17">
                  <c:v>580</c:v>
                </c:pt>
                <c:pt idx="18">
                  <c:v>581</c:v>
                </c:pt>
                <c:pt idx="19">
                  <c:v>582</c:v>
                </c:pt>
                <c:pt idx="20">
                  <c:v>585</c:v>
                </c:pt>
                <c:pt idx="21">
                  <c:v>590</c:v>
                </c:pt>
                <c:pt idx="22">
                  <c:v>601</c:v>
                </c:pt>
                <c:pt idx="23">
                  <c:v>612</c:v>
                </c:pt>
                <c:pt idx="24">
                  <c:v>610</c:v>
                </c:pt>
                <c:pt idx="25">
                  <c:v>611</c:v>
                </c:pt>
                <c:pt idx="26">
                  <c:v>615</c:v>
                </c:pt>
                <c:pt idx="27">
                  <c:v>620</c:v>
                </c:pt>
                <c:pt idx="28">
                  <c:v>621</c:v>
                </c:pt>
                <c:pt idx="29">
                  <c:v>622</c:v>
                </c:pt>
              </c:numCache>
            </c:numRef>
          </c:xVal>
          <c:yVal>
            <c:numRef>
              <c:f>'Анализ данных 2'!$B$31:$B$60</c:f>
              <c:numCache>
                <c:formatCode>General</c:formatCode>
                <c:ptCount val="30"/>
                <c:pt idx="0">
                  <c:v>359.028510635131</c:v>
                </c:pt>
                <c:pt idx="1">
                  <c:v>392.730332802731</c:v>
                </c:pt>
                <c:pt idx="2">
                  <c:v>397.438513895718</c:v>
                </c:pt>
                <c:pt idx="3">
                  <c:v>429.135541739942</c:v>
                </c:pt>
                <c:pt idx="4">
                  <c:v>460.844615164649</c:v>
                </c:pt>
                <c:pt idx="5">
                  <c:v>453.90626848857</c:v>
                </c:pt>
                <c:pt idx="6">
                  <c:v>490.195264769036</c:v>
                </c:pt>
                <c:pt idx="7">
                  <c:v>490.529654685484</c:v>
                </c:pt>
                <c:pt idx="8">
                  <c:v>494.080856636987</c:v>
                </c:pt>
                <c:pt idx="9">
                  <c:v>574.132606986819</c:v>
                </c:pt>
                <c:pt idx="10">
                  <c:v>655.656116607132</c:v>
                </c:pt>
                <c:pt idx="11">
                  <c:v>613.254946033751</c:v>
                </c:pt>
                <c:pt idx="12">
                  <c:v>625.029167897143</c:v>
                </c:pt>
                <c:pt idx="13">
                  <c:v>632.69493572748</c:v>
                </c:pt>
                <c:pt idx="14">
                  <c:v>669.486859479263</c:v>
                </c:pt>
                <c:pt idx="15">
                  <c:v>665.386273181038</c:v>
                </c:pt>
                <c:pt idx="16">
                  <c:v>697.475676596946</c:v>
                </c:pt>
                <c:pt idx="17">
                  <c:v>777.176328101095</c:v>
                </c:pt>
                <c:pt idx="18">
                  <c:v>760.476807447602</c:v>
                </c:pt>
                <c:pt idx="19">
                  <c:v>755.917333449687</c:v>
                </c:pt>
                <c:pt idx="20">
                  <c:v>769.004640248051</c:v>
                </c:pt>
                <c:pt idx="21">
                  <c:v>789.831234112415</c:v>
                </c:pt>
                <c:pt idx="22">
                  <c:v>832.138205040638</c:v>
                </c:pt>
                <c:pt idx="23">
                  <c:v>882.624967725462</c:v>
                </c:pt>
                <c:pt idx="24">
                  <c:v>860.18134270061</c:v>
                </c:pt>
                <c:pt idx="25">
                  <c:v>912.962680646395</c:v>
                </c:pt>
                <c:pt idx="26">
                  <c:v>935.919875246075</c:v>
                </c:pt>
                <c:pt idx="27">
                  <c:v>939.603630512119</c:v>
                </c:pt>
                <c:pt idx="28">
                  <c:v>988.301089043218</c:v>
                </c:pt>
                <c:pt idx="29">
                  <c:v>1003.85572439881</c:v>
                </c:pt>
              </c:numCache>
            </c:numRef>
          </c:yVal>
          <c:smooth val="0"/>
        </c:ser>
        <c:dLbls>
          <c:showLegendKey val="0"/>
          <c:showVal val="0"/>
          <c:showCatName val="0"/>
          <c:showSerName val="0"/>
          <c:showPercent val="0"/>
          <c:showBubbleSize val="0"/>
        </c:dLbls>
        <c:axId val="1182969375"/>
        <c:axId val="1229386863"/>
      </c:scatterChart>
      <c:valAx>
        <c:axId val="1182969375"/>
        <c:scaling>
          <c:orientation val="minMax"/>
        </c:scaling>
        <c:delete val="0"/>
        <c:axPos val="b"/>
        <c:title>
          <c:tx>
            <c:rich>
              <a:bodyPr rot="0" spcFirstLastPara="0" vertOverflow="ellipsis" vert="horz" wrap="square" anchor="ctr" anchorCtr="1"/>
              <a:lstStyle/>
              <a:p>
                <a:pPr>
                  <a:defRPr lang="ru-RU" sz="1000" b="1" i="0" u="none" strike="noStrike" kern="1200" baseline="0">
                    <a:solidFill>
                      <a:schemeClr val="tx1"/>
                    </a:solidFill>
                    <a:latin typeface="+mn-lt"/>
                    <a:ea typeface="+mn-ea"/>
                    <a:cs typeface="+mn-cs"/>
                  </a:defRPr>
                </a:pPr>
                <a:r>
                  <a:rPr lang="ru-RU"/>
                  <a:t>Среднесписочная численность работников, чел., </a:t>
                </a:r>
                <a:r>
                  <a:rPr lang="en-US"/>
                  <a:t>X2</a:t>
                </a:r>
                <a:endParaRPr lang="en-US"/>
              </a:p>
            </c:rich>
          </c:tx>
          <c:layout/>
          <c:overlay val="0"/>
        </c:title>
        <c:numFmt formatCode="General" sourceLinked="1"/>
        <c:majorTickMark val="out"/>
        <c:minorTickMark val="none"/>
        <c:tickLblPos val="nextTo"/>
        <c:txPr>
          <a:bodyPr rot="-60000000" spcFirstLastPara="0" vertOverflow="ellipsis" vert="horz" wrap="square" anchor="ctr" anchorCtr="1"/>
          <a:lstStyle/>
          <a:p>
            <a:pPr>
              <a:defRPr lang="ru-RU" sz="1000" b="0" i="0" u="none" strike="noStrike" kern="1200" baseline="0">
                <a:solidFill>
                  <a:schemeClr val="tx1"/>
                </a:solidFill>
                <a:latin typeface="+mn-lt"/>
                <a:ea typeface="+mn-ea"/>
                <a:cs typeface="+mn-cs"/>
              </a:defRPr>
            </a:pPr>
          </a:p>
        </c:txPr>
        <c:crossAx val="1229386863"/>
        <c:crosses val="autoZero"/>
        <c:crossBetween val="midCat"/>
      </c:valAx>
      <c:valAx>
        <c:axId val="1229386863"/>
        <c:scaling>
          <c:orientation val="minMax"/>
        </c:scaling>
        <c:delete val="0"/>
        <c:axPos val="l"/>
        <c:title>
          <c:tx>
            <c:rich>
              <a:bodyPr rot="-5400000" spcFirstLastPara="0" vertOverflow="ellipsis" vert="horz" wrap="square" anchor="ctr" anchorCtr="1"/>
              <a:lstStyle/>
              <a:p>
                <a:pPr>
                  <a:defRPr lang="ru-RU" sz="1000" b="1" i="0" u="none" strike="noStrike" kern="1200" baseline="0">
                    <a:solidFill>
                      <a:schemeClr val="tx1"/>
                    </a:solidFill>
                    <a:latin typeface="+mn-lt"/>
                    <a:ea typeface="+mn-ea"/>
                    <a:cs typeface="+mn-cs"/>
                  </a:defRPr>
                </a:pPr>
                <a:r>
                  <a:rPr lang="ru-RU"/>
                  <a:t>Прибыль, млн руб., </a:t>
                </a:r>
                <a:r>
                  <a:rPr lang="en-US"/>
                  <a:t>Y</a:t>
                </a:r>
                <a:endParaRPr lang="en-US"/>
              </a:p>
            </c:rich>
          </c:tx>
          <c:layout/>
          <c:overlay val="0"/>
        </c:title>
        <c:numFmt formatCode="General" sourceLinked="1"/>
        <c:majorTickMark val="out"/>
        <c:minorTickMark val="none"/>
        <c:tickLblPos val="nextTo"/>
        <c:txPr>
          <a:bodyPr rot="-60000000" spcFirstLastPara="0" vertOverflow="ellipsis" vert="horz" wrap="square" anchor="ctr" anchorCtr="1"/>
          <a:lstStyle/>
          <a:p>
            <a:pPr>
              <a:defRPr lang="ru-RU" sz="1000" b="0" i="0" u="none" strike="noStrike" kern="1200" baseline="0">
                <a:solidFill>
                  <a:schemeClr val="tx1"/>
                </a:solidFill>
                <a:latin typeface="+mn-lt"/>
                <a:ea typeface="+mn-ea"/>
                <a:cs typeface="+mn-cs"/>
              </a:defRPr>
            </a:pPr>
          </a:p>
        </c:txPr>
        <c:crossAx val="1182969375"/>
        <c:crosses val="autoZero"/>
        <c:crossBetween val="midCat"/>
      </c:valAx>
    </c:plotArea>
    <c:legend>
      <c:legendPos val="r"/>
      <c:layout/>
      <c:overlay val="0"/>
      <c:txPr>
        <a:bodyPr rot="0" spcFirstLastPara="0" vertOverflow="ellipsis" vert="horz" wrap="square" anchor="ctr" anchorCtr="1"/>
        <a:lstStyle/>
        <a:p>
          <a:pPr>
            <a:defRPr lang="ru-RU" sz="1000" b="0" i="0" u="none" strike="noStrike" kern="1200" baseline="0">
              <a:solidFill>
                <a:schemeClr val="tx1"/>
              </a:solidFill>
              <a:latin typeface="+mn-lt"/>
              <a:ea typeface="+mn-ea"/>
              <a:cs typeface="+mn-cs"/>
            </a:defRPr>
          </a:pPr>
        </a:p>
      </c:txPr>
    </c:legend>
    <c:plotVisOnly val="1"/>
    <c:dispBlanksAs val="gap"/>
    <c:showDLblsOverMax val="0"/>
    <c:extLst>
      <c:ext uri="{0b15fc19-7d7d-44ad-8c2d-2c3a37ce22c3}">
        <chartProps xmlns="https://web.wps.cn/et/2018/main" chartId="{bbfe30d0-6045-4b44-ac9b-2ee5fb3c571b}"/>
      </c:ext>
    </c:extLst>
  </c:chart>
  <c:txPr>
    <a:bodyPr/>
    <a:lstStyle/>
    <a:p>
      <a:pPr>
        <a:defRPr lang="ru-RU"/>
      </a:pPr>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0" vertOverflow="ellipsis" vert="horz" wrap="square" anchor="ctr" anchorCtr="1"/>
          <a:lstStyle/>
          <a:p>
            <a:pPr>
              <a:defRPr lang="ru-RU" sz="1800" b="1" i="0" u="none" strike="noStrike" kern="1200" baseline="0">
                <a:solidFill>
                  <a:schemeClr val="tx1"/>
                </a:solidFill>
                <a:latin typeface="+mn-lt"/>
                <a:ea typeface="+mn-ea"/>
                <a:cs typeface="+mn-cs"/>
              </a:defRPr>
            </a:pPr>
            <a:r>
              <a:rPr lang="ru-RU"/>
              <a:t>Стоимость основных производственных фондов, млн руб., </a:t>
            </a:r>
            <a:r>
              <a:rPr lang="en-US"/>
              <a:t>X3 </a:t>
            </a:r>
            <a:r>
              <a:rPr lang="ru-RU"/>
              <a:t>График подбора</a:t>
            </a:r>
            <a:endParaRPr lang="ru-RU"/>
          </a:p>
        </c:rich>
      </c:tx>
      <c:layout/>
      <c:overlay val="0"/>
    </c:title>
    <c:autoTitleDeleted val="0"/>
    <c:plotArea>
      <c:layout/>
      <c:scatterChart>
        <c:scatterStyle val="marker"/>
        <c:varyColors val="0"/>
        <c:ser>
          <c:idx val="0"/>
          <c:order val="0"/>
          <c:tx>
            <c:strRef>
              <c:f>"Прибыль, млн руб., Y"</c:f>
              <c:strCache>
                <c:ptCount val="1"/>
                <c:pt idx="0">
                  <c:v>Прибыль, млн руб., Y</c:v>
                </c:pt>
              </c:strCache>
            </c:strRef>
          </c:tx>
          <c:spPr>
            <a:ln w="19050" cap="rnd" cmpd="sng" algn="ctr">
              <a:noFill/>
              <a:prstDash val="solid"/>
              <a:round/>
            </a:ln>
          </c:spPr>
          <c:dLbls>
            <c:delete val="1"/>
          </c:dLbls>
          <c:xVal>
            <c:numRef>
              <c:f>'Исходные данные 2'!$E$2:$E$31</c:f>
              <c:numCache>
                <c:formatCode>General</c:formatCode>
                <c:ptCount val="30"/>
                <c:pt idx="0">
                  <c:v>1340</c:v>
                </c:pt>
                <c:pt idx="1">
                  <c:v>1560</c:v>
                </c:pt>
                <c:pt idx="2">
                  <c:v>1590</c:v>
                </c:pt>
                <c:pt idx="3">
                  <c:v>1680</c:v>
                </c:pt>
                <c:pt idx="4">
                  <c:v>1450</c:v>
                </c:pt>
                <c:pt idx="5">
                  <c:v>1600</c:v>
                </c:pt>
                <c:pt idx="6">
                  <c:v>1200</c:v>
                </c:pt>
                <c:pt idx="7">
                  <c:v>1280</c:v>
                </c:pt>
                <c:pt idx="8">
                  <c:v>1560</c:v>
                </c:pt>
                <c:pt idx="9">
                  <c:v>1680</c:v>
                </c:pt>
                <c:pt idx="10">
                  <c:v>1780</c:v>
                </c:pt>
                <c:pt idx="11">
                  <c:v>1890</c:v>
                </c:pt>
                <c:pt idx="12">
                  <c:v>1580</c:v>
                </c:pt>
                <c:pt idx="13">
                  <c:v>1760</c:v>
                </c:pt>
                <c:pt idx="14">
                  <c:v>1340</c:v>
                </c:pt>
                <c:pt idx="15">
                  <c:v>1670</c:v>
                </c:pt>
                <c:pt idx="16">
                  <c:v>1350</c:v>
                </c:pt>
                <c:pt idx="17">
                  <c:v>1240</c:v>
                </c:pt>
                <c:pt idx="18">
                  <c:v>1450</c:v>
                </c:pt>
                <c:pt idx="19">
                  <c:v>1670</c:v>
                </c:pt>
                <c:pt idx="20">
                  <c:v>1280</c:v>
                </c:pt>
                <c:pt idx="21">
                  <c:v>1340</c:v>
                </c:pt>
                <c:pt idx="22">
                  <c:v>1450</c:v>
                </c:pt>
                <c:pt idx="23">
                  <c:v>1450</c:v>
                </c:pt>
                <c:pt idx="24">
                  <c:v>1670</c:v>
                </c:pt>
                <c:pt idx="25">
                  <c:v>1330</c:v>
                </c:pt>
                <c:pt idx="26">
                  <c:v>1560</c:v>
                </c:pt>
                <c:pt idx="27">
                  <c:v>1760</c:v>
                </c:pt>
                <c:pt idx="28">
                  <c:v>1650</c:v>
                </c:pt>
                <c:pt idx="29">
                  <c:v>1890</c:v>
                </c:pt>
              </c:numCache>
            </c:numRef>
          </c:xVal>
          <c:yVal>
            <c:numRef>
              <c:f>'Исходные данные 2'!$B$2:$B$31</c:f>
              <c:numCache>
                <c:formatCode>General</c:formatCode>
                <c:ptCount val="30"/>
                <c:pt idx="0">
                  <c:v>335</c:v>
                </c:pt>
                <c:pt idx="1">
                  <c:v>336</c:v>
                </c:pt>
                <c:pt idx="2">
                  <c:v>388</c:v>
                </c:pt>
                <c:pt idx="3">
                  <c:v>420</c:v>
                </c:pt>
                <c:pt idx="4">
                  <c:v>450</c:v>
                </c:pt>
                <c:pt idx="5">
                  <c:v>450</c:v>
                </c:pt>
                <c:pt idx="6">
                  <c:v>500</c:v>
                </c:pt>
                <c:pt idx="7">
                  <c:v>520</c:v>
                </c:pt>
                <c:pt idx="8">
                  <c:v>550</c:v>
                </c:pt>
                <c:pt idx="9">
                  <c:v>600</c:v>
                </c:pt>
                <c:pt idx="10">
                  <c:v>605</c:v>
                </c:pt>
                <c:pt idx="11">
                  <c:v>620</c:v>
                </c:pt>
                <c:pt idx="12">
                  <c:v>630</c:v>
                </c:pt>
                <c:pt idx="13">
                  <c:v>655</c:v>
                </c:pt>
                <c:pt idx="14">
                  <c:v>690</c:v>
                </c:pt>
                <c:pt idx="15">
                  <c:v>690</c:v>
                </c:pt>
                <c:pt idx="16">
                  <c:v>710</c:v>
                </c:pt>
                <c:pt idx="17">
                  <c:v>720</c:v>
                </c:pt>
                <c:pt idx="18">
                  <c:v>745</c:v>
                </c:pt>
                <c:pt idx="19">
                  <c:v>760</c:v>
                </c:pt>
                <c:pt idx="20">
                  <c:v>780</c:v>
                </c:pt>
                <c:pt idx="21">
                  <c:v>840</c:v>
                </c:pt>
                <c:pt idx="22">
                  <c:v>845</c:v>
                </c:pt>
                <c:pt idx="23">
                  <c:v>850</c:v>
                </c:pt>
                <c:pt idx="24">
                  <c:v>860</c:v>
                </c:pt>
                <c:pt idx="25">
                  <c:v>890</c:v>
                </c:pt>
                <c:pt idx="26">
                  <c:v>940</c:v>
                </c:pt>
                <c:pt idx="27">
                  <c:v>960</c:v>
                </c:pt>
                <c:pt idx="28">
                  <c:v>980</c:v>
                </c:pt>
                <c:pt idx="29">
                  <c:v>990</c:v>
                </c:pt>
              </c:numCache>
            </c:numRef>
          </c:yVal>
          <c:smooth val="0"/>
        </c:ser>
        <c:ser>
          <c:idx val="1"/>
          <c:order val="1"/>
          <c:tx>
            <c:strRef>
              <c:f>"Предсказанное Прибыль, млн руб., Y"</c:f>
              <c:strCache>
                <c:ptCount val="1"/>
                <c:pt idx="0">
                  <c:v>Предсказанное Прибыль, млн руб., Y</c:v>
                </c:pt>
              </c:strCache>
            </c:strRef>
          </c:tx>
          <c:spPr>
            <a:ln w="19050" cap="rnd" cmpd="sng" algn="ctr">
              <a:noFill/>
              <a:prstDash val="solid"/>
              <a:round/>
            </a:ln>
          </c:spPr>
          <c:dLbls>
            <c:delete val="1"/>
          </c:dLbls>
          <c:xVal>
            <c:numRef>
              <c:f>'Исходные данные 2'!$E$2:$E$31</c:f>
              <c:numCache>
                <c:formatCode>General</c:formatCode>
                <c:ptCount val="30"/>
                <c:pt idx="0">
                  <c:v>1340</c:v>
                </c:pt>
                <c:pt idx="1">
                  <c:v>1560</c:v>
                </c:pt>
                <c:pt idx="2">
                  <c:v>1590</c:v>
                </c:pt>
                <c:pt idx="3">
                  <c:v>1680</c:v>
                </c:pt>
                <c:pt idx="4">
                  <c:v>1450</c:v>
                </c:pt>
                <c:pt idx="5">
                  <c:v>1600</c:v>
                </c:pt>
                <c:pt idx="6">
                  <c:v>1200</c:v>
                </c:pt>
                <c:pt idx="7">
                  <c:v>1280</c:v>
                </c:pt>
                <c:pt idx="8">
                  <c:v>1560</c:v>
                </c:pt>
                <c:pt idx="9">
                  <c:v>1680</c:v>
                </c:pt>
                <c:pt idx="10">
                  <c:v>1780</c:v>
                </c:pt>
                <c:pt idx="11">
                  <c:v>1890</c:v>
                </c:pt>
                <c:pt idx="12">
                  <c:v>1580</c:v>
                </c:pt>
                <c:pt idx="13">
                  <c:v>1760</c:v>
                </c:pt>
                <c:pt idx="14">
                  <c:v>1340</c:v>
                </c:pt>
                <c:pt idx="15">
                  <c:v>1670</c:v>
                </c:pt>
                <c:pt idx="16">
                  <c:v>1350</c:v>
                </c:pt>
                <c:pt idx="17">
                  <c:v>1240</c:v>
                </c:pt>
                <c:pt idx="18">
                  <c:v>1450</c:v>
                </c:pt>
                <c:pt idx="19">
                  <c:v>1670</c:v>
                </c:pt>
                <c:pt idx="20">
                  <c:v>1280</c:v>
                </c:pt>
                <c:pt idx="21">
                  <c:v>1340</c:v>
                </c:pt>
                <c:pt idx="22">
                  <c:v>1450</c:v>
                </c:pt>
                <c:pt idx="23">
                  <c:v>1450</c:v>
                </c:pt>
                <c:pt idx="24">
                  <c:v>1670</c:v>
                </c:pt>
                <c:pt idx="25">
                  <c:v>1330</c:v>
                </c:pt>
                <c:pt idx="26">
                  <c:v>1560</c:v>
                </c:pt>
                <c:pt idx="27">
                  <c:v>1760</c:v>
                </c:pt>
                <c:pt idx="28">
                  <c:v>1650</c:v>
                </c:pt>
                <c:pt idx="29">
                  <c:v>1890</c:v>
                </c:pt>
              </c:numCache>
            </c:numRef>
          </c:xVal>
          <c:yVal>
            <c:numRef>
              <c:f>'Анализ данных 2'!$B$31:$B$60</c:f>
              <c:numCache>
                <c:formatCode>General</c:formatCode>
                <c:ptCount val="30"/>
                <c:pt idx="0">
                  <c:v>359.028510635131</c:v>
                </c:pt>
                <c:pt idx="1">
                  <c:v>392.730332802731</c:v>
                </c:pt>
                <c:pt idx="2">
                  <c:v>397.438513895718</c:v>
                </c:pt>
                <c:pt idx="3">
                  <c:v>429.135541739942</c:v>
                </c:pt>
                <c:pt idx="4">
                  <c:v>460.844615164649</c:v>
                </c:pt>
                <c:pt idx="5">
                  <c:v>453.90626848857</c:v>
                </c:pt>
                <c:pt idx="6">
                  <c:v>490.195264769036</c:v>
                </c:pt>
                <c:pt idx="7">
                  <c:v>490.529654685484</c:v>
                </c:pt>
                <c:pt idx="8">
                  <c:v>494.080856636987</c:v>
                </c:pt>
                <c:pt idx="9">
                  <c:v>574.132606986819</c:v>
                </c:pt>
                <c:pt idx="10">
                  <c:v>655.656116607132</c:v>
                </c:pt>
                <c:pt idx="11">
                  <c:v>613.254946033751</c:v>
                </c:pt>
                <c:pt idx="12">
                  <c:v>625.029167897143</c:v>
                </c:pt>
                <c:pt idx="13">
                  <c:v>632.69493572748</c:v>
                </c:pt>
                <c:pt idx="14">
                  <c:v>669.486859479263</c:v>
                </c:pt>
                <c:pt idx="15">
                  <c:v>665.386273181038</c:v>
                </c:pt>
                <c:pt idx="16">
                  <c:v>697.475676596946</c:v>
                </c:pt>
                <c:pt idx="17">
                  <c:v>777.176328101095</c:v>
                </c:pt>
                <c:pt idx="18">
                  <c:v>760.476807447602</c:v>
                </c:pt>
                <c:pt idx="19">
                  <c:v>755.917333449687</c:v>
                </c:pt>
                <c:pt idx="20">
                  <c:v>769.004640248051</c:v>
                </c:pt>
                <c:pt idx="21">
                  <c:v>789.831234112415</c:v>
                </c:pt>
                <c:pt idx="22">
                  <c:v>832.138205040638</c:v>
                </c:pt>
                <c:pt idx="23">
                  <c:v>882.624967725462</c:v>
                </c:pt>
                <c:pt idx="24">
                  <c:v>860.18134270061</c:v>
                </c:pt>
                <c:pt idx="25">
                  <c:v>912.962680646395</c:v>
                </c:pt>
                <c:pt idx="26">
                  <c:v>935.919875246075</c:v>
                </c:pt>
                <c:pt idx="27">
                  <c:v>939.603630512119</c:v>
                </c:pt>
                <c:pt idx="28">
                  <c:v>988.301089043218</c:v>
                </c:pt>
                <c:pt idx="29">
                  <c:v>1003.85572439881</c:v>
                </c:pt>
              </c:numCache>
            </c:numRef>
          </c:yVal>
          <c:smooth val="0"/>
        </c:ser>
        <c:dLbls>
          <c:showLegendKey val="0"/>
          <c:showVal val="0"/>
          <c:showCatName val="0"/>
          <c:showSerName val="0"/>
          <c:showPercent val="0"/>
          <c:showBubbleSize val="0"/>
        </c:dLbls>
        <c:axId val="1182976975"/>
        <c:axId val="1229386031"/>
      </c:scatterChart>
      <c:valAx>
        <c:axId val="1182976975"/>
        <c:scaling>
          <c:orientation val="minMax"/>
        </c:scaling>
        <c:delete val="0"/>
        <c:axPos val="b"/>
        <c:title>
          <c:tx>
            <c:rich>
              <a:bodyPr rot="0" spcFirstLastPara="0" vertOverflow="ellipsis" vert="horz" wrap="square" anchor="ctr" anchorCtr="1"/>
              <a:lstStyle/>
              <a:p>
                <a:pPr>
                  <a:defRPr lang="ru-RU" sz="1000" b="1" i="0" u="none" strike="noStrike" kern="1200" baseline="0">
                    <a:solidFill>
                      <a:schemeClr val="tx1"/>
                    </a:solidFill>
                    <a:latin typeface="+mn-lt"/>
                    <a:ea typeface="+mn-ea"/>
                    <a:cs typeface="+mn-cs"/>
                  </a:defRPr>
                </a:pPr>
                <a:r>
                  <a:rPr lang="ru-RU"/>
                  <a:t>Стоимость основных производственных фондов, млн руб., </a:t>
                </a:r>
                <a:r>
                  <a:rPr lang="en-US"/>
                  <a:t>X3</a:t>
                </a:r>
                <a:endParaRPr lang="en-US"/>
              </a:p>
            </c:rich>
          </c:tx>
          <c:layout/>
          <c:overlay val="0"/>
        </c:title>
        <c:numFmt formatCode="General" sourceLinked="1"/>
        <c:majorTickMark val="out"/>
        <c:minorTickMark val="none"/>
        <c:tickLblPos val="nextTo"/>
        <c:txPr>
          <a:bodyPr rot="-60000000" spcFirstLastPara="0" vertOverflow="ellipsis" vert="horz" wrap="square" anchor="ctr" anchorCtr="1"/>
          <a:lstStyle/>
          <a:p>
            <a:pPr>
              <a:defRPr lang="ru-RU" sz="1000" b="0" i="0" u="none" strike="noStrike" kern="1200" baseline="0">
                <a:solidFill>
                  <a:schemeClr val="tx1"/>
                </a:solidFill>
                <a:latin typeface="+mn-lt"/>
                <a:ea typeface="+mn-ea"/>
                <a:cs typeface="+mn-cs"/>
              </a:defRPr>
            </a:pPr>
          </a:p>
        </c:txPr>
        <c:crossAx val="1229386031"/>
        <c:crosses val="autoZero"/>
        <c:crossBetween val="midCat"/>
      </c:valAx>
      <c:valAx>
        <c:axId val="1229386031"/>
        <c:scaling>
          <c:orientation val="minMax"/>
        </c:scaling>
        <c:delete val="0"/>
        <c:axPos val="l"/>
        <c:title>
          <c:tx>
            <c:rich>
              <a:bodyPr rot="-5400000" spcFirstLastPara="0" vertOverflow="ellipsis" vert="horz" wrap="square" anchor="ctr" anchorCtr="1"/>
              <a:lstStyle/>
              <a:p>
                <a:pPr>
                  <a:defRPr lang="ru-RU" sz="1000" b="1" i="0" u="none" strike="noStrike" kern="1200" baseline="0">
                    <a:solidFill>
                      <a:schemeClr val="tx1"/>
                    </a:solidFill>
                    <a:latin typeface="+mn-lt"/>
                    <a:ea typeface="+mn-ea"/>
                    <a:cs typeface="+mn-cs"/>
                  </a:defRPr>
                </a:pPr>
                <a:r>
                  <a:rPr lang="ru-RU"/>
                  <a:t>Прибыль, млн руб., </a:t>
                </a:r>
                <a:r>
                  <a:rPr lang="en-US"/>
                  <a:t>Y</a:t>
                </a:r>
                <a:endParaRPr lang="en-US"/>
              </a:p>
            </c:rich>
          </c:tx>
          <c:layout/>
          <c:overlay val="0"/>
        </c:title>
        <c:numFmt formatCode="General" sourceLinked="1"/>
        <c:majorTickMark val="out"/>
        <c:minorTickMark val="none"/>
        <c:tickLblPos val="nextTo"/>
        <c:txPr>
          <a:bodyPr rot="-60000000" spcFirstLastPara="0" vertOverflow="ellipsis" vert="horz" wrap="square" anchor="ctr" anchorCtr="1"/>
          <a:lstStyle/>
          <a:p>
            <a:pPr>
              <a:defRPr lang="ru-RU" sz="1000" b="0" i="0" u="none" strike="noStrike" kern="1200" baseline="0">
                <a:solidFill>
                  <a:schemeClr val="tx1"/>
                </a:solidFill>
                <a:latin typeface="+mn-lt"/>
                <a:ea typeface="+mn-ea"/>
                <a:cs typeface="+mn-cs"/>
              </a:defRPr>
            </a:pPr>
          </a:p>
        </c:txPr>
        <c:crossAx val="1182976975"/>
        <c:crosses val="autoZero"/>
        <c:crossBetween val="midCat"/>
      </c:valAx>
    </c:plotArea>
    <c:legend>
      <c:legendPos val="r"/>
      <c:layout/>
      <c:overlay val="0"/>
      <c:txPr>
        <a:bodyPr rot="0" spcFirstLastPara="0" vertOverflow="ellipsis" vert="horz" wrap="square" anchor="ctr" anchorCtr="1"/>
        <a:lstStyle/>
        <a:p>
          <a:pPr>
            <a:defRPr lang="ru-RU" sz="1000" b="0" i="0" u="none" strike="noStrike" kern="1200" baseline="0">
              <a:solidFill>
                <a:schemeClr val="tx1"/>
              </a:solidFill>
              <a:latin typeface="+mn-lt"/>
              <a:ea typeface="+mn-ea"/>
              <a:cs typeface="+mn-cs"/>
            </a:defRPr>
          </a:pPr>
        </a:p>
      </c:txPr>
    </c:legend>
    <c:plotVisOnly val="1"/>
    <c:dispBlanksAs val="gap"/>
    <c:showDLblsOverMax val="0"/>
    <c:extLst>
      <c:ext uri="{0b15fc19-7d7d-44ad-8c2d-2c3a37ce22c3}">
        <chartProps xmlns="https://web.wps.cn/et/2018/main" chartId="{6cf5b822-06d8-4e7d-a971-7e402334eeec}"/>
      </c:ext>
    </c:extLst>
  </c:chart>
  <c:txPr>
    <a:bodyPr/>
    <a:lstStyle/>
    <a:p>
      <a:pPr>
        <a:defRPr lang="ru-RU"/>
      </a:pPr>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0" vertOverflow="ellipsis" vert="horz" wrap="square" anchor="ctr" anchorCtr="1"/>
          <a:lstStyle/>
          <a:p>
            <a:pPr>
              <a:defRPr lang="ru-RU" sz="1800" b="1" i="0" u="none" strike="noStrike" kern="1200" baseline="0">
                <a:solidFill>
                  <a:schemeClr val="tx1"/>
                </a:solidFill>
                <a:latin typeface="+mn-lt"/>
                <a:ea typeface="+mn-ea"/>
                <a:cs typeface="+mn-cs"/>
              </a:defRPr>
            </a:pPr>
            <a:r>
              <a:rPr lang="ru-RU"/>
              <a:t>Коммерческие расходы, млн руб., </a:t>
            </a:r>
            <a:r>
              <a:rPr lang="en-US"/>
              <a:t>X6 </a:t>
            </a:r>
            <a:r>
              <a:rPr lang="ru-RU"/>
              <a:t>График подбора</a:t>
            </a:r>
            <a:endParaRPr lang="ru-RU"/>
          </a:p>
        </c:rich>
      </c:tx>
      <c:layout/>
      <c:overlay val="0"/>
    </c:title>
    <c:autoTitleDeleted val="0"/>
    <c:plotArea>
      <c:layout/>
      <c:scatterChart>
        <c:scatterStyle val="marker"/>
        <c:varyColors val="0"/>
        <c:ser>
          <c:idx val="0"/>
          <c:order val="0"/>
          <c:tx>
            <c:strRef>
              <c:f>"Прибыль, млн руб., Y"</c:f>
              <c:strCache>
                <c:ptCount val="1"/>
                <c:pt idx="0">
                  <c:v>Прибыль, млн руб., Y</c:v>
                </c:pt>
              </c:strCache>
            </c:strRef>
          </c:tx>
          <c:spPr>
            <a:ln w="19050" cap="rnd" cmpd="sng" algn="ctr">
              <a:noFill/>
              <a:prstDash val="solid"/>
              <a:round/>
            </a:ln>
          </c:spPr>
          <c:dLbls>
            <c:delete val="1"/>
          </c:dLbls>
          <c:xVal>
            <c:numRef>
              <c:f>'Исходные данные 2'!$F$2:$F$31</c:f>
              <c:numCache>
                <c:formatCode>General</c:formatCode>
                <c:ptCount val="30"/>
                <c:pt idx="0">
                  <c:v>28</c:v>
                </c:pt>
                <c:pt idx="1">
                  <c:v>30</c:v>
                </c:pt>
                <c:pt idx="2">
                  <c:v>25</c:v>
                </c:pt>
                <c:pt idx="3">
                  <c:v>23</c:v>
                </c:pt>
                <c:pt idx="4">
                  <c:v>20</c:v>
                </c:pt>
                <c:pt idx="5">
                  <c:v>22</c:v>
                </c:pt>
                <c:pt idx="6">
                  <c:v>25</c:v>
                </c:pt>
                <c:pt idx="7">
                  <c:v>30</c:v>
                </c:pt>
                <c:pt idx="8">
                  <c:v>40</c:v>
                </c:pt>
                <c:pt idx="9">
                  <c:v>44</c:v>
                </c:pt>
                <c:pt idx="10">
                  <c:v>45</c:v>
                </c:pt>
                <c:pt idx="11">
                  <c:v>47</c:v>
                </c:pt>
                <c:pt idx="12">
                  <c:v>48</c:v>
                </c:pt>
                <c:pt idx="13">
                  <c:v>47</c:v>
                </c:pt>
                <c:pt idx="14">
                  <c:v>46</c:v>
                </c:pt>
                <c:pt idx="15">
                  <c:v>48</c:v>
                </c:pt>
                <c:pt idx="16">
                  <c:v>47</c:v>
                </c:pt>
                <c:pt idx="17">
                  <c:v>48</c:v>
                </c:pt>
                <c:pt idx="18">
                  <c:v>46</c:v>
                </c:pt>
                <c:pt idx="19">
                  <c:v>44</c:v>
                </c:pt>
                <c:pt idx="20">
                  <c:v>48</c:v>
                </c:pt>
                <c:pt idx="21">
                  <c:v>47</c:v>
                </c:pt>
                <c:pt idx="22">
                  <c:v>49</c:v>
                </c:pt>
                <c:pt idx="23">
                  <c:v>52</c:v>
                </c:pt>
                <c:pt idx="24">
                  <c:v>83</c:v>
                </c:pt>
                <c:pt idx="25">
                  <c:v>86</c:v>
                </c:pt>
                <c:pt idx="26">
                  <c:v>81</c:v>
                </c:pt>
                <c:pt idx="27">
                  <c:v>96</c:v>
                </c:pt>
                <c:pt idx="28">
                  <c:v>97</c:v>
                </c:pt>
                <c:pt idx="29">
                  <c:v>105</c:v>
                </c:pt>
              </c:numCache>
            </c:numRef>
          </c:xVal>
          <c:yVal>
            <c:numRef>
              <c:f>'Исходные данные 2'!$B$2:$B$31</c:f>
              <c:numCache>
                <c:formatCode>General</c:formatCode>
                <c:ptCount val="30"/>
                <c:pt idx="0">
                  <c:v>335</c:v>
                </c:pt>
                <c:pt idx="1">
                  <c:v>336</c:v>
                </c:pt>
                <c:pt idx="2">
                  <c:v>388</c:v>
                </c:pt>
                <c:pt idx="3">
                  <c:v>420</c:v>
                </c:pt>
                <c:pt idx="4">
                  <c:v>450</c:v>
                </c:pt>
                <c:pt idx="5">
                  <c:v>450</c:v>
                </c:pt>
                <c:pt idx="6">
                  <c:v>500</c:v>
                </c:pt>
                <c:pt idx="7">
                  <c:v>520</c:v>
                </c:pt>
                <c:pt idx="8">
                  <c:v>550</c:v>
                </c:pt>
                <c:pt idx="9">
                  <c:v>600</c:v>
                </c:pt>
                <c:pt idx="10">
                  <c:v>605</c:v>
                </c:pt>
                <c:pt idx="11">
                  <c:v>620</c:v>
                </c:pt>
                <c:pt idx="12">
                  <c:v>630</c:v>
                </c:pt>
                <c:pt idx="13">
                  <c:v>655</c:v>
                </c:pt>
                <c:pt idx="14">
                  <c:v>690</c:v>
                </c:pt>
                <c:pt idx="15">
                  <c:v>690</c:v>
                </c:pt>
                <c:pt idx="16">
                  <c:v>710</c:v>
                </c:pt>
                <c:pt idx="17">
                  <c:v>720</c:v>
                </c:pt>
                <c:pt idx="18">
                  <c:v>745</c:v>
                </c:pt>
                <c:pt idx="19">
                  <c:v>760</c:v>
                </c:pt>
                <c:pt idx="20">
                  <c:v>780</c:v>
                </c:pt>
                <c:pt idx="21">
                  <c:v>840</c:v>
                </c:pt>
                <c:pt idx="22">
                  <c:v>845</c:v>
                </c:pt>
                <c:pt idx="23">
                  <c:v>850</c:v>
                </c:pt>
                <c:pt idx="24">
                  <c:v>860</c:v>
                </c:pt>
                <c:pt idx="25">
                  <c:v>890</c:v>
                </c:pt>
                <c:pt idx="26">
                  <c:v>940</c:v>
                </c:pt>
                <c:pt idx="27">
                  <c:v>960</c:v>
                </c:pt>
                <c:pt idx="28">
                  <c:v>980</c:v>
                </c:pt>
                <c:pt idx="29">
                  <c:v>990</c:v>
                </c:pt>
              </c:numCache>
            </c:numRef>
          </c:yVal>
          <c:smooth val="0"/>
        </c:ser>
        <c:ser>
          <c:idx val="1"/>
          <c:order val="1"/>
          <c:tx>
            <c:strRef>
              <c:f>"Предсказанное Прибыль, млн руб., Y"</c:f>
              <c:strCache>
                <c:ptCount val="1"/>
                <c:pt idx="0">
                  <c:v>Предсказанное Прибыль, млн руб., Y</c:v>
                </c:pt>
              </c:strCache>
            </c:strRef>
          </c:tx>
          <c:spPr>
            <a:ln w="19050" cap="rnd" cmpd="sng" algn="ctr">
              <a:noFill/>
              <a:prstDash val="solid"/>
              <a:round/>
            </a:ln>
          </c:spPr>
          <c:dLbls>
            <c:delete val="1"/>
          </c:dLbls>
          <c:xVal>
            <c:numRef>
              <c:f>'Исходные данные 2'!$F$2:$F$31</c:f>
              <c:numCache>
                <c:formatCode>General</c:formatCode>
                <c:ptCount val="30"/>
                <c:pt idx="0">
                  <c:v>28</c:v>
                </c:pt>
                <c:pt idx="1">
                  <c:v>30</c:v>
                </c:pt>
                <c:pt idx="2">
                  <c:v>25</c:v>
                </c:pt>
                <c:pt idx="3">
                  <c:v>23</c:v>
                </c:pt>
                <c:pt idx="4">
                  <c:v>20</c:v>
                </c:pt>
                <c:pt idx="5">
                  <c:v>22</c:v>
                </c:pt>
                <c:pt idx="6">
                  <c:v>25</c:v>
                </c:pt>
                <c:pt idx="7">
                  <c:v>30</c:v>
                </c:pt>
                <c:pt idx="8">
                  <c:v>40</c:v>
                </c:pt>
                <c:pt idx="9">
                  <c:v>44</c:v>
                </c:pt>
                <c:pt idx="10">
                  <c:v>45</c:v>
                </c:pt>
                <c:pt idx="11">
                  <c:v>47</c:v>
                </c:pt>
                <c:pt idx="12">
                  <c:v>48</c:v>
                </c:pt>
                <c:pt idx="13">
                  <c:v>47</c:v>
                </c:pt>
                <c:pt idx="14">
                  <c:v>46</c:v>
                </c:pt>
                <c:pt idx="15">
                  <c:v>48</c:v>
                </c:pt>
                <c:pt idx="16">
                  <c:v>47</c:v>
                </c:pt>
                <c:pt idx="17">
                  <c:v>48</c:v>
                </c:pt>
                <c:pt idx="18">
                  <c:v>46</c:v>
                </c:pt>
                <c:pt idx="19">
                  <c:v>44</c:v>
                </c:pt>
                <c:pt idx="20">
                  <c:v>48</c:v>
                </c:pt>
                <c:pt idx="21">
                  <c:v>47</c:v>
                </c:pt>
                <c:pt idx="22">
                  <c:v>49</c:v>
                </c:pt>
                <c:pt idx="23">
                  <c:v>52</c:v>
                </c:pt>
                <c:pt idx="24">
                  <c:v>83</c:v>
                </c:pt>
                <c:pt idx="25">
                  <c:v>86</c:v>
                </c:pt>
                <c:pt idx="26">
                  <c:v>81</c:v>
                </c:pt>
                <c:pt idx="27">
                  <c:v>96</c:v>
                </c:pt>
                <c:pt idx="28">
                  <c:v>97</c:v>
                </c:pt>
                <c:pt idx="29">
                  <c:v>105</c:v>
                </c:pt>
              </c:numCache>
            </c:numRef>
          </c:xVal>
          <c:yVal>
            <c:numRef>
              <c:f>'Анализ данных 2'!$B$31:$B$60</c:f>
              <c:numCache>
                <c:formatCode>General</c:formatCode>
                <c:ptCount val="30"/>
                <c:pt idx="0">
                  <c:v>359.028510635131</c:v>
                </c:pt>
                <c:pt idx="1">
                  <c:v>392.730332802731</c:v>
                </c:pt>
                <c:pt idx="2">
                  <c:v>397.438513895718</c:v>
                </c:pt>
                <c:pt idx="3">
                  <c:v>429.135541739942</c:v>
                </c:pt>
                <c:pt idx="4">
                  <c:v>460.844615164649</c:v>
                </c:pt>
                <c:pt idx="5">
                  <c:v>453.90626848857</c:v>
                </c:pt>
                <c:pt idx="6">
                  <c:v>490.195264769036</c:v>
                </c:pt>
                <c:pt idx="7">
                  <c:v>490.529654685484</c:v>
                </c:pt>
                <c:pt idx="8">
                  <c:v>494.080856636987</c:v>
                </c:pt>
                <c:pt idx="9">
                  <c:v>574.132606986819</c:v>
                </c:pt>
                <c:pt idx="10">
                  <c:v>655.656116607132</c:v>
                </c:pt>
                <c:pt idx="11">
                  <c:v>613.254946033751</c:v>
                </c:pt>
                <c:pt idx="12">
                  <c:v>625.029167897143</c:v>
                </c:pt>
                <c:pt idx="13">
                  <c:v>632.69493572748</c:v>
                </c:pt>
                <c:pt idx="14">
                  <c:v>669.486859479263</c:v>
                </c:pt>
                <c:pt idx="15">
                  <c:v>665.386273181038</c:v>
                </c:pt>
                <c:pt idx="16">
                  <c:v>697.475676596946</c:v>
                </c:pt>
                <c:pt idx="17">
                  <c:v>777.176328101095</c:v>
                </c:pt>
                <c:pt idx="18">
                  <c:v>760.476807447602</c:v>
                </c:pt>
                <c:pt idx="19">
                  <c:v>755.917333449687</c:v>
                </c:pt>
                <c:pt idx="20">
                  <c:v>769.004640248051</c:v>
                </c:pt>
                <c:pt idx="21">
                  <c:v>789.831234112415</c:v>
                </c:pt>
                <c:pt idx="22">
                  <c:v>832.138205040638</c:v>
                </c:pt>
                <c:pt idx="23">
                  <c:v>882.624967725462</c:v>
                </c:pt>
                <c:pt idx="24">
                  <c:v>860.18134270061</c:v>
                </c:pt>
                <c:pt idx="25">
                  <c:v>912.962680646395</c:v>
                </c:pt>
                <c:pt idx="26">
                  <c:v>935.919875246075</c:v>
                </c:pt>
                <c:pt idx="27">
                  <c:v>939.603630512119</c:v>
                </c:pt>
                <c:pt idx="28">
                  <c:v>988.301089043218</c:v>
                </c:pt>
                <c:pt idx="29">
                  <c:v>1003.85572439881</c:v>
                </c:pt>
              </c:numCache>
            </c:numRef>
          </c:yVal>
          <c:smooth val="0"/>
        </c:ser>
        <c:dLbls>
          <c:showLegendKey val="0"/>
          <c:showVal val="0"/>
          <c:showCatName val="0"/>
          <c:showSerName val="0"/>
          <c:showPercent val="0"/>
          <c:showBubbleSize val="0"/>
        </c:dLbls>
        <c:axId val="1182964975"/>
        <c:axId val="1229395183"/>
      </c:scatterChart>
      <c:valAx>
        <c:axId val="1182964975"/>
        <c:scaling>
          <c:orientation val="minMax"/>
        </c:scaling>
        <c:delete val="0"/>
        <c:axPos val="b"/>
        <c:title>
          <c:tx>
            <c:rich>
              <a:bodyPr rot="0" spcFirstLastPara="0" vertOverflow="ellipsis" vert="horz" wrap="square" anchor="ctr" anchorCtr="1"/>
              <a:lstStyle/>
              <a:p>
                <a:pPr>
                  <a:defRPr lang="ru-RU" sz="1000" b="1" i="0" u="none" strike="noStrike" kern="1200" baseline="0">
                    <a:solidFill>
                      <a:schemeClr val="tx1"/>
                    </a:solidFill>
                    <a:latin typeface="+mn-lt"/>
                    <a:ea typeface="+mn-ea"/>
                    <a:cs typeface="+mn-cs"/>
                  </a:defRPr>
                </a:pPr>
                <a:r>
                  <a:rPr lang="ru-RU"/>
                  <a:t>Коммерческие расходы, млн руб., </a:t>
                </a:r>
                <a:r>
                  <a:rPr lang="en-US"/>
                  <a:t>X6</a:t>
                </a:r>
                <a:endParaRPr lang="en-US"/>
              </a:p>
            </c:rich>
          </c:tx>
          <c:layout/>
          <c:overlay val="0"/>
        </c:title>
        <c:numFmt formatCode="General" sourceLinked="1"/>
        <c:majorTickMark val="out"/>
        <c:minorTickMark val="none"/>
        <c:tickLblPos val="nextTo"/>
        <c:txPr>
          <a:bodyPr rot="-60000000" spcFirstLastPara="0" vertOverflow="ellipsis" vert="horz" wrap="square" anchor="ctr" anchorCtr="1"/>
          <a:lstStyle/>
          <a:p>
            <a:pPr>
              <a:defRPr lang="ru-RU" sz="1000" b="0" i="0" u="none" strike="noStrike" kern="1200" baseline="0">
                <a:solidFill>
                  <a:schemeClr val="tx1"/>
                </a:solidFill>
                <a:latin typeface="+mn-lt"/>
                <a:ea typeface="+mn-ea"/>
                <a:cs typeface="+mn-cs"/>
              </a:defRPr>
            </a:pPr>
          </a:p>
        </c:txPr>
        <c:crossAx val="1229395183"/>
        <c:crosses val="autoZero"/>
        <c:crossBetween val="midCat"/>
      </c:valAx>
      <c:valAx>
        <c:axId val="1229395183"/>
        <c:scaling>
          <c:orientation val="minMax"/>
        </c:scaling>
        <c:delete val="0"/>
        <c:axPos val="l"/>
        <c:title>
          <c:tx>
            <c:rich>
              <a:bodyPr rot="-5400000" spcFirstLastPara="0" vertOverflow="ellipsis" vert="horz" wrap="square" anchor="ctr" anchorCtr="1"/>
              <a:lstStyle/>
              <a:p>
                <a:pPr>
                  <a:defRPr lang="ru-RU" sz="1000" b="1" i="0" u="none" strike="noStrike" kern="1200" baseline="0">
                    <a:solidFill>
                      <a:schemeClr val="tx1"/>
                    </a:solidFill>
                    <a:latin typeface="+mn-lt"/>
                    <a:ea typeface="+mn-ea"/>
                    <a:cs typeface="+mn-cs"/>
                  </a:defRPr>
                </a:pPr>
                <a:r>
                  <a:rPr lang="ru-RU"/>
                  <a:t>Прибыль, млн руб., </a:t>
                </a:r>
                <a:r>
                  <a:rPr lang="en-US"/>
                  <a:t>Y</a:t>
                </a:r>
                <a:endParaRPr lang="en-US"/>
              </a:p>
            </c:rich>
          </c:tx>
          <c:layout/>
          <c:overlay val="0"/>
        </c:title>
        <c:numFmt formatCode="General" sourceLinked="1"/>
        <c:majorTickMark val="out"/>
        <c:minorTickMark val="none"/>
        <c:tickLblPos val="nextTo"/>
        <c:txPr>
          <a:bodyPr rot="-60000000" spcFirstLastPara="0" vertOverflow="ellipsis" vert="horz" wrap="square" anchor="ctr" anchorCtr="1"/>
          <a:lstStyle/>
          <a:p>
            <a:pPr>
              <a:defRPr lang="ru-RU" sz="1000" b="0" i="0" u="none" strike="noStrike" kern="1200" baseline="0">
                <a:solidFill>
                  <a:schemeClr val="tx1"/>
                </a:solidFill>
                <a:latin typeface="+mn-lt"/>
                <a:ea typeface="+mn-ea"/>
                <a:cs typeface="+mn-cs"/>
              </a:defRPr>
            </a:pPr>
          </a:p>
        </c:txPr>
        <c:crossAx val="1182964975"/>
        <c:crosses val="autoZero"/>
        <c:crossBetween val="midCat"/>
      </c:valAx>
    </c:plotArea>
    <c:legend>
      <c:legendPos val="r"/>
      <c:layout/>
      <c:overlay val="0"/>
      <c:txPr>
        <a:bodyPr rot="0" spcFirstLastPara="0" vertOverflow="ellipsis" vert="horz" wrap="square" anchor="ctr" anchorCtr="1"/>
        <a:lstStyle/>
        <a:p>
          <a:pPr>
            <a:defRPr lang="ru-RU" sz="1000" b="0" i="0" u="none" strike="noStrike" kern="1200" baseline="0">
              <a:solidFill>
                <a:schemeClr val="tx1"/>
              </a:solidFill>
              <a:latin typeface="+mn-lt"/>
              <a:ea typeface="+mn-ea"/>
              <a:cs typeface="+mn-cs"/>
            </a:defRPr>
          </a:pPr>
        </a:p>
      </c:txPr>
    </c:legend>
    <c:plotVisOnly val="1"/>
    <c:dispBlanksAs val="gap"/>
    <c:showDLblsOverMax val="0"/>
    <c:extLst>
      <c:ext uri="{0b15fc19-7d7d-44ad-8c2d-2c3a37ce22c3}">
        <chartProps xmlns="https://web.wps.cn/et/2018/main" chartId="{1886325c-1517-4246-9d08-e7dd0c55d626}"/>
      </c:ext>
    </c:extLst>
  </c:chart>
  <c:txPr>
    <a:bodyPr/>
    <a:lstStyle/>
    <a:p>
      <a:pPr>
        <a:defRPr lang="ru-RU"/>
      </a:pPr>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0" vertOverflow="ellipsis" vert="horz" wrap="square" anchor="ctr" anchorCtr="1"/>
          <a:lstStyle/>
          <a:p>
            <a:pPr>
              <a:defRPr lang="ru-RU" sz="1800" b="1" i="0" u="none" strike="noStrike" kern="1200" baseline="0">
                <a:solidFill>
                  <a:schemeClr val="tx1"/>
                </a:solidFill>
                <a:latin typeface="+mn-lt"/>
                <a:ea typeface="+mn-ea"/>
                <a:cs typeface="+mn-cs"/>
              </a:defRPr>
            </a:pPr>
            <a:r>
              <a:rPr lang="ru-RU"/>
              <a:t>Прибыль конкурента, млн руб., </a:t>
            </a:r>
            <a:r>
              <a:rPr lang="en-US"/>
              <a:t>X7 </a:t>
            </a:r>
            <a:r>
              <a:rPr lang="ru-RU"/>
              <a:t>График подбора</a:t>
            </a:r>
            <a:endParaRPr lang="ru-RU"/>
          </a:p>
        </c:rich>
      </c:tx>
      <c:layout/>
      <c:overlay val="0"/>
    </c:title>
    <c:autoTitleDeleted val="0"/>
    <c:plotArea>
      <c:layout/>
      <c:scatterChart>
        <c:scatterStyle val="marker"/>
        <c:varyColors val="0"/>
        <c:ser>
          <c:idx val="0"/>
          <c:order val="0"/>
          <c:tx>
            <c:strRef>
              <c:f>"Прибыль, млн руб., Y"</c:f>
              <c:strCache>
                <c:ptCount val="1"/>
                <c:pt idx="0">
                  <c:v>Прибыль, млн руб., Y</c:v>
                </c:pt>
              </c:strCache>
            </c:strRef>
          </c:tx>
          <c:spPr>
            <a:ln w="19050" cap="rnd" cmpd="sng" algn="ctr">
              <a:noFill/>
              <a:prstDash val="solid"/>
              <a:round/>
            </a:ln>
          </c:spPr>
          <c:dLbls>
            <c:delete val="1"/>
          </c:dLbls>
          <c:xVal>
            <c:numRef>
              <c:f>'Исходные данные 2'!$G$2:$G$31</c:f>
              <c:numCache>
                <c:formatCode>General</c:formatCode>
                <c:ptCount val="30"/>
                <c:pt idx="0">
                  <c:v>780</c:v>
                </c:pt>
                <c:pt idx="1">
                  <c:v>790</c:v>
                </c:pt>
                <c:pt idx="2">
                  <c:v>800</c:v>
                </c:pt>
                <c:pt idx="3">
                  <c:v>820</c:v>
                </c:pt>
                <c:pt idx="4">
                  <c:v>840</c:v>
                </c:pt>
                <c:pt idx="5">
                  <c:v>860</c:v>
                </c:pt>
                <c:pt idx="6">
                  <c:v>875</c:v>
                </c:pt>
                <c:pt idx="7">
                  <c:v>880</c:v>
                </c:pt>
                <c:pt idx="8">
                  <c:v>890</c:v>
                </c:pt>
                <c:pt idx="9">
                  <c:v>880</c:v>
                </c:pt>
                <c:pt idx="10">
                  <c:v>870</c:v>
                </c:pt>
                <c:pt idx="11">
                  <c:v>850</c:v>
                </c:pt>
                <c:pt idx="12">
                  <c:v>890</c:v>
                </c:pt>
                <c:pt idx="13">
                  <c:v>920</c:v>
                </c:pt>
                <c:pt idx="14">
                  <c:v>945</c:v>
                </c:pt>
                <c:pt idx="15">
                  <c:v>955</c:v>
                </c:pt>
                <c:pt idx="16">
                  <c:v>968</c:v>
                </c:pt>
                <c:pt idx="17">
                  <c:v>985</c:v>
                </c:pt>
                <c:pt idx="18">
                  <c:v>990</c:v>
                </c:pt>
                <c:pt idx="19">
                  <c:v>1030</c:v>
                </c:pt>
                <c:pt idx="20">
                  <c:v>1040</c:v>
                </c:pt>
                <c:pt idx="21">
                  <c:v>1060</c:v>
                </c:pt>
                <c:pt idx="22">
                  <c:v>1080</c:v>
                </c:pt>
                <c:pt idx="23">
                  <c:v>1133</c:v>
                </c:pt>
                <c:pt idx="24">
                  <c:v>1208</c:v>
                </c:pt>
                <c:pt idx="25">
                  <c:v>1387</c:v>
                </c:pt>
                <c:pt idx="26">
                  <c:v>1450</c:v>
                </c:pt>
                <c:pt idx="27">
                  <c:v>1500</c:v>
                </c:pt>
                <c:pt idx="28">
                  <c:v>1600</c:v>
                </c:pt>
                <c:pt idx="29">
                  <c:v>1650</c:v>
                </c:pt>
              </c:numCache>
            </c:numRef>
          </c:xVal>
          <c:yVal>
            <c:numRef>
              <c:f>'Исходные данные 2'!$B$2:$B$31</c:f>
              <c:numCache>
                <c:formatCode>General</c:formatCode>
                <c:ptCount val="30"/>
                <c:pt idx="0">
                  <c:v>335</c:v>
                </c:pt>
                <c:pt idx="1">
                  <c:v>336</c:v>
                </c:pt>
                <c:pt idx="2">
                  <c:v>388</c:v>
                </c:pt>
                <c:pt idx="3">
                  <c:v>420</c:v>
                </c:pt>
                <c:pt idx="4">
                  <c:v>450</c:v>
                </c:pt>
                <c:pt idx="5">
                  <c:v>450</c:v>
                </c:pt>
                <c:pt idx="6">
                  <c:v>500</c:v>
                </c:pt>
                <c:pt idx="7">
                  <c:v>520</c:v>
                </c:pt>
                <c:pt idx="8">
                  <c:v>550</c:v>
                </c:pt>
                <c:pt idx="9">
                  <c:v>600</c:v>
                </c:pt>
                <c:pt idx="10">
                  <c:v>605</c:v>
                </c:pt>
                <c:pt idx="11">
                  <c:v>620</c:v>
                </c:pt>
                <c:pt idx="12">
                  <c:v>630</c:v>
                </c:pt>
                <c:pt idx="13">
                  <c:v>655</c:v>
                </c:pt>
                <c:pt idx="14">
                  <c:v>690</c:v>
                </c:pt>
                <c:pt idx="15">
                  <c:v>690</c:v>
                </c:pt>
                <c:pt idx="16">
                  <c:v>710</c:v>
                </c:pt>
                <c:pt idx="17">
                  <c:v>720</c:v>
                </c:pt>
                <c:pt idx="18">
                  <c:v>745</c:v>
                </c:pt>
                <c:pt idx="19">
                  <c:v>760</c:v>
                </c:pt>
                <c:pt idx="20">
                  <c:v>780</c:v>
                </c:pt>
                <c:pt idx="21">
                  <c:v>840</c:v>
                </c:pt>
                <c:pt idx="22">
                  <c:v>845</c:v>
                </c:pt>
                <c:pt idx="23">
                  <c:v>850</c:v>
                </c:pt>
                <c:pt idx="24">
                  <c:v>860</c:v>
                </c:pt>
                <c:pt idx="25">
                  <c:v>890</c:v>
                </c:pt>
                <c:pt idx="26">
                  <c:v>940</c:v>
                </c:pt>
                <c:pt idx="27">
                  <c:v>960</c:v>
                </c:pt>
                <c:pt idx="28">
                  <c:v>980</c:v>
                </c:pt>
                <c:pt idx="29">
                  <c:v>990</c:v>
                </c:pt>
              </c:numCache>
            </c:numRef>
          </c:yVal>
          <c:smooth val="0"/>
        </c:ser>
        <c:ser>
          <c:idx val="1"/>
          <c:order val="1"/>
          <c:tx>
            <c:strRef>
              <c:f>"Предсказанное Прибыль, млн руб., Y"</c:f>
              <c:strCache>
                <c:ptCount val="1"/>
                <c:pt idx="0">
                  <c:v>Предсказанное Прибыль, млн руб., Y</c:v>
                </c:pt>
              </c:strCache>
            </c:strRef>
          </c:tx>
          <c:spPr>
            <a:ln w="19050" cap="rnd" cmpd="sng" algn="ctr">
              <a:noFill/>
              <a:prstDash val="solid"/>
              <a:round/>
            </a:ln>
          </c:spPr>
          <c:dLbls>
            <c:delete val="1"/>
          </c:dLbls>
          <c:xVal>
            <c:numRef>
              <c:f>'Исходные данные 2'!$G$2:$G$31</c:f>
              <c:numCache>
                <c:formatCode>General</c:formatCode>
                <c:ptCount val="30"/>
                <c:pt idx="0">
                  <c:v>780</c:v>
                </c:pt>
                <c:pt idx="1">
                  <c:v>790</c:v>
                </c:pt>
                <c:pt idx="2">
                  <c:v>800</c:v>
                </c:pt>
                <c:pt idx="3">
                  <c:v>820</c:v>
                </c:pt>
                <c:pt idx="4">
                  <c:v>840</c:v>
                </c:pt>
                <c:pt idx="5">
                  <c:v>860</c:v>
                </c:pt>
                <c:pt idx="6">
                  <c:v>875</c:v>
                </c:pt>
                <c:pt idx="7">
                  <c:v>880</c:v>
                </c:pt>
                <c:pt idx="8">
                  <c:v>890</c:v>
                </c:pt>
                <c:pt idx="9">
                  <c:v>880</c:v>
                </c:pt>
                <c:pt idx="10">
                  <c:v>870</c:v>
                </c:pt>
                <c:pt idx="11">
                  <c:v>850</c:v>
                </c:pt>
                <c:pt idx="12">
                  <c:v>890</c:v>
                </c:pt>
                <c:pt idx="13">
                  <c:v>920</c:v>
                </c:pt>
                <c:pt idx="14">
                  <c:v>945</c:v>
                </c:pt>
                <c:pt idx="15">
                  <c:v>955</c:v>
                </c:pt>
                <c:pt idx="16">
                  <c:v>968</c:v>
                </c:pt>
                <c:pt idx="17">
                  <c:v>985</c:v>
                </c:pt>
                <c:pt idx="18">
                  <c:v>990</c:v>
                </c:pt>
                <c:pt idx="19">
                  <c:v>1030</c:v>
                </c:pt>
                <c:pt idx="20">
                  <c:v>1040</c:v>
                </c:pt>
                <c:pt idx="21">
                  <c:v>1060</c:v>
                </c:pt>
                <c:pt idx="22">
                  <c:v>1080</c:v>
                </c:pt>
                <c:pt idx="23">
                  <c:v>1133</c:v>
                </c:pt>
                <c:pt idx="24">
                  <c:v>1208</c:v>
                </c:pt>
                <c:pt idx="25">
                  <c:v>1387</c:v>
                </c:pt>
                <c:pt idx="26">
                  <c:v>1450</c:v>
                </c:pt>
                <c:pt idx="27">
                  <c:v>1500</c:v>
                </c:pt>
                <c:pt idx="28">
                  <c:v>1600</c:v>
                </c:pt>
                <c:pt idx="29">
                  <c:v>1650</c:v>
                </c:pt>
              </c:numCache>
            </c:numRef>
          </c:xVal>
          <c:yVal>
            <c:numRef>
              <c:f>'Анализ данных 2'!$B$31:$B$60</c:f>
              <c:numCache>
                <c:formatCode>General</c:formatCode>
                <c:ptCount val="30"/>
                <c:pt idx="0">
                  <c:v>359.028510635131</c:v>
                </c:pt>
                <c:pt idx="1">
                  <c:v>392.730332802731</c:v>
                </c:pt>
                <c:pt idx="2">
                  <c:v>397.438513895718</c:v>
                </c:pt>
                <c:pt idx="3">
                  <c:v>429.135541739942</c:v>
                </c:pt>
                <c:pt idx="4">
                  <c:v>460.844615164649</c:v>
                </c:pt>
                <c:pt idx="5">
                  <c:v>453.90626848857</c:v>
                </c:pt>
                <c:pt idx="6">
                  <c:v>490.195264769036</c:v>
                </c:pt>
                <c:pt idx="7">
                  <c:v>490.529654685484</c:v>
                </c:pt>
                <c:pt idx="8">
                  <c:v>494.080856636987</c:v>
                </c:pt>
                <c:pt idx="9">
                  <c:v>574.132606986819</c:v>
                </c:pt>
                <c:pt idx="10">
                  <c:v>655.656116607132</c:v>
                </c:pt>
                <c:pt idx="11">
                  <c:v>613.254946033751</c:v>
                </c:pt>
                <c:pt idx="12">
                  <c:v>625.029167897143</c:v>
                </c:pt>
                <c:pt idx="13">
                  <c:v>632.69493572748</c:v>
                </c:pt>
                <c:pt idx="14">
                  <c:v>669.486859479263</c:v>
                </c:pt>
                <c:pt idx="15">
                  <c:v>665.386273181038</c:v>
                </c:pt>
                <c:pt idx="16">
                  <c:v>697.475676596946</c:v>
                </c:pt>
                <c:pt idx="17">
                  <c:v>777.176328101095</c:v>
                </c:pt>
                <c:pt idx="18">
                  <c:v>760.476807447602</c:v>
                </c:pt>
                <c:pt idx="19">
                  <c:v>755.917333449687</c:v>
                </c:pt>
                <c:pt idx="20">
                  <c:v>769.004640248051</c:v>
                </c:pt>
                <c:pt idx="21">
                  <c:v>789.831234112415</c:v>
                </c:pt>
                <c:pt idx="22">
                  <c:v>832.138205040638</c:v>
                </c:pt>
                <c:pt idx="23">
                  <c:v>882.624967725462</c:v>
                </c:pt>
                <c:pt idx="24">
                  <c:v>860.18134270061</c:v>
                </c:pt>
                <c:pt idx="25">
                  <c:v>912.962680646395</c:v>
                </c:pt>
                <c:pt idx="26">
                  <c:v>935.919875246075</c:v>
                </c:pt>
                <c:pt idx="27">
                  <c:v>939.603630512119</c:v>
                </c:pt>
                <c:pt idx="28">
                  <c:v>988.301089043218</c:v>
                </c:pt>
                <c:pt idx="29">
                  <c:v>1003.85572439881</c:v>
                </c:pt>
              </c:numCache>
            </c:numRef>
          </c:yVal>
          <c:smooth val="0"/>
        </c:ser>
        <c:dLbls>
          <c:showLegendKey val="0"/>
          <c:showVal val="0"/>
          <c:showCatName val="0"/>
          <c:showSerName val="0"/>
          <c:showPercent val="0"/>
          <c:showBubbleSize val="0"/>
        </c:dLbls>
        <c:axId val="1182981775"/>
        <c:axId val="1229373551"/>
      </c:scatterChart>
      <c:valAx>
        <c:axId val="1182981775"/>
        <c:scaling>
          <c:orientation val="minMax"/>
        </c:scaling>
        <c:delete val="0"/>
        <c:axPos val="b"/>
        <c:title>
          <c:tx>
            <c:rich>
              <a:bodyPr rot="0" spcFirstLastPara="0" vertOverflow="ellipsis" vert="horz" wrap="square" anchor="ctr" anchorCtr="1"/>
              <a:lstStyle/>
              <a:p>
                <a:pPr>
                  <a:defRPr lang="ru-RU" sz="1000" b="1" i="0" u="none" strike="noStrike" kern="1200" baseline="0">
                    <a:solidFill>
                      <a:schemeClr val="tx1"/>
                    </a:solidFill>
                    <a:latin typeface="+mn-lt"/>
                    <a:ea typeface="+mn-ea"/>
                    <a:cs typeface="+mn-cs"/>
                  </a:defRPr>
                </a:pPr>
                <a:r>
                  <a:rPr lang="ru-RU"/>
                  <a:t>Прибыль конкурента, млн руб., </a:t>
                </a:r>
                <a:r>
                  <a:rPr lang="en-US"/>
                  <a:t>X7</a:t>
                </a:r>
                <a:endParaRPr lang="en-US"/>
              </a:p>
            </c:rich>
          </c:tx>
          <c:layout/>
          <c:overlay val="0"/>
        </c:title>
        <c:numFmt formatCode="General" sourceLinked="1"/>
        <c:majorTickMark val="out"/>
        <c:minorTickMark val="none"/>
        <c:tickLblPos val="nextTo"/>
        <c:txPr>
          <a:bodyPr rot="-60000000" spcFirstLastPara="0" vertOverflow="ellipsis" vert="horz" wrap="square" anchor="ctr" anchorCtr="1"/>
          <a:lstStyle/>
          <a:p>
            <a:pPr>
              <a:defRPr lang="ru-RU" sz="1000" b="0" i="0" u="none" strike="noStrike" kern="1200" baseline="0">
                <a:solidFill>
                  <a:schemeClr val="tx1"/>
                </a:solidFill>
                <a:latin typeface="+mn-lt"/>
                <a:ea typeface="+mn-ea"/>
                <a:cs typeface="+mn-cs"/>
              </a:defRPr>
            </a:pPr>
          </a:p>
        </c:txPr>
        <c:crossAx val="1229373551"/>
        <c:crosses val="autoZero"/>
        <c:crossBetween val="midCat"/>
      </c:valAx>
      <c:valAx>
        <c:axId val="1229373551"/>
        <c:scaling>
          <c:orientation val="minMax"/>
        </c:scaling>
        <c:delete val="0"/>
        <c:axPos val="l"/>
        <c:title>
          <c:tx>
            <c:rich>
              <a:bodyPr rot="-5400000" spcFirstLastPara="0" vertOverflow="ellipsis" vert="horz" wrap="square" anchor="ctr" anchorCtr="1"/>
              <a:lstStyle/>
              <a:p>
                <a:pPr>
                  <a:defRPr lang="ru-RU" sz="1000" b="1" i="0" u="none" strike="noStrike" kern="1200" baseline="0">
                    <a:solidFill>
                      <a:schemeClr val="tx1"/>
                    </a:solidFill>
                    <a:latin typeface="+mn-lt"/>
                    <a:ea typeface="+mn-ea"/>
                    <a:cs typeface="+mn-cs"/>
                  </a:defRPr>
                </a:pPr>
                <a:r>
                  <a:rPr lang="ru-RU"/>
                  <a:t>Прибыль, млн руб., </a:t>
                </a:r>
                <a:r>
                  <a:rPr lang="en-US"/>
                  <a:t>Y</a:t>
                </a:r>
                <a:endParaRPr lang="en-US"/>
              </a:p>
            </c:rich>
          </c:tx>
          <c:layout/>
          <c:overlay val="0"/>
        </c:title>
        <c:numFmt formatCode="General" sourceLinked="1"/>
        <c:majorTickMark val="out"/>
        <c:minorTickMark val="none"/>
        <c:tickLblPos val="nextTo"/>
        <c:txPr>
          <a:bodyPr rot="-60000000" spcFirstLastPara="0" vertOverflow="ellipsis" vert="horz" wrap="square" anchor="ctr" anchorCtr="1"/>
          <a:lstStyle/>
          <a:p>
            <a:pPr>
              <a:defRPr lang="ru-RU" sz="1000" b="0" i="0" u="none" strike="noStrike" kern="1200" baseline="0">
                <a:solidFill>
                  <a:schemeClr val="tx1"/>
                </a:solidFill>
                <a:latin typeface="+mn-lt"/>
                <a:ea typeface="+mn-ea"/>
                <a:cs typeface="+mn-cs"/>
              </a:defRPr>
            </a:pPr>
          </a:p>
        </c:txPr>
        <c:crossAx val="1182981775"/>
        <c:crosses val="autoZero"/>
        <c:crossBetween val="midCat"/>
      </c:valAx>
    </c:plotArea>
    <c:legend>
      <c:legendPos val="r"/>
      <c:layout/>
      <c:overlay val="0"/>
      <c:txPr>
        <a:bodyPr rot="0" spcFirstLastPara="0" vertOverflow="ellipsis" vert="horz" wrap="square" anchor="ctr" anchorCtr="1"/>
        <a:lstStyle/>
        <a:p>
          <a:pPr>
            <a:defRPr lang="ru-RU" sz="1000" b="0" i="0" u="none" strike="noStrike" kern="1200" baseline="0">
              <a:solidFill>
                <a:schemeClr val="tx1"/>
              </a:solidFill>
              <a:latin typeface="+mn-lt"/>
              <a:ea typeface="+mn-ea"/>
              <a:cs typeface="+mn-cs"/>
            </a:defRPr>
          </a:pPr>
        </a:p>
      </c:txPr>
    </c:legend>
    <c:plotVisOnly val="1"/>
    <c:dispBlanksAs val="gap"/>
    <c:showDLblsOverMax val="0"/>
    <c:extLst>
      <c:ext uri="{0b15fc19-7d7d-44ad-8c2d-2c3a37ce22c3}">
        <chartProps xmlns="https://web.wps.cn/et/2018/main" chartId="{0e4e4dff-68ae-4672-8f55-4d255c289b0d}"/>
      </c:ext>
    </c:extLst>
  </c:chart>
  <c:txPr>
    <a:bodyPr/>
    <a:lstStyle/>
    <a:p>
      <a:pPr>
        <a:defRPr lang="ru-RU"/>
      </a:pPr>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0" vertOverflow="ellipsis" vert="horz" wrap="square" anchor="ctr" anchorCtr="1"/>
          <a:lstStyle/>
          <a:p>
            <a:pPr>
              <a:defRPr lang="ru-RU" sz="1800" b="1" i="0" u="none" strike="noStrike" kern="1200" baseline="0">
                <a:solidFill>
                  <a:schemeClr val="tx1"/>
                </a:solidFill>
                <a:latin typeface="+mn-lt"/>
                <a:ea typeface="+mn-ea"/>
                <a:cs typeface="+mn-cs"/>
              </a:defRPr>
            </a:pPr>
            <a:r>
              <a:rPr lang="ru-RU"/>
              <a:t>Индекс рыночных цен, в разах, </a:t>
            </a:r>
            <a:r>
              <a:rPr lang="en-US"/>
              <a:t>X8 </a:t>
            </a:r>
            <a:r>
              <a:rPr lang="ru-RU"/>
              <a:t>График подбора</a:t>
            </a:r>
            <a:endParaRPr lang="ru-RU"/>
          </a:p>
        </c:rich>
      </c:tx>
      <c:layout/>
      <c:overlay val="0"/>
    </c:title>
    <c:autoTitleDeleted val="0"/>
    <c:plotArea>
      <c:layout/>
      <c:scatterChart>
        <c:scatterStyle val="marker"/>
        <c:varyColors val="0"/>
        <c:ser>
          <c:idx val="0"/>
          <c:order val="0"/>
          <c:tx>
            <c:strRef>
              <c:f>"Прибыль, млн руб., Y"</c:f>
              <c:strCache>
                <c:ptCount val="1"/>
                <c:pt idx="0">
                  <c:v>Прибыль, млн руб., Y</c:v>
                </c:pt>
              </c:strCache>
            </c:strRef>
          </c:tx>
          <c:spPr>
            <a:ln w="19050" cap="rnd" cmpd="sng" algn="ctr">
              <a:noFill/>
              <a:prstDash val="solid"/>
              <a:round/>
            </a:ln>
          </c:spPr>
          <c:dLbls>
            <c:delete val="1"/>
          </c:dLbls>
          <c:xVal>
            <c:numRef>
              <c:f>'Исходные данные 2'!$H$2:$H$31</c:f>
              <c:numCache>
                <c:formatCode>General</c:formatCode>
                <c:ptCount val="30"/>
                <c:pt idx="0">
                  <c:v>1.02</c:v>
                </c:pt>
                <c:pt idx="1">
                  <c:v>1.03</c:v>
                </c:pt>
                <c:pt idx="2">
                  <c:v>1.02</c:v>
                </c:pt>
                <c:pt idx="3">
                  <c:v>1.04</c:v>
                </c:pt>
                <c:pt idx="4">
                  <c:v>1.03</c:v>
                </c:pt>
                <c:pt idx="5">
                  <c:v>1.03</c:v>
                </c:pt>
                <c:pt idx="6">
                  <c:v>1.04</c:v>
                </c:pt>
                <c:pt idx="7">
                  <c:v>1.05</c:v>
                </c:pt>
                <c:pt idx="8">
                  <c:v>1.07</c:v>
                </c:pt>
                <c:pt idx="9">
                  <c:v>1.2</c:v>
                </c:pt>
                <c:pt idx="10">
                  <c:v>1.25</c:v>
                </c:pt>
                <c:pt idx="11">
                  <c:v>1.28</c:v>
                </c:pt>
                <c:pt idx="12">
                  <c:v>1.32</c:v>
                </c:pt>
                <c:pt idx="13">
                  <c:v>1.35</c:v>
                </c:pt>
                <c:pt idx="14">
                  <c:v>1.32</c:v>
                </c:pt>
                <c:pt idx="15">
                  <c:v>1.32</c:v>
                </c:pt>
                <c:pt idx="16">
                  <c:v>1.45</c:v>
                </c:pt>
                <c:pt idx="17">
                  <c:v>1.48</c:v>
                </c:pt>
                <c:pt idx="18">
                  <c:v>1.31</c:v>
                </c:pt>
                <c:pt idx="19">
                  <c:v>1.22</c:v>
                </c:pt>
                <c:pt idx="20">
                  <c:v>1.15</c:v>
                </c:pt>
                <c:pt idx="21">
                  <c:v>1.11</c:v>
                </c:pt>
                <c:pt idx="22">
                  <c:v>1.08</c:v>
                </c:pt>
                <c:pt idx="23">
                  <c:v>1.06</c:v>
                </c:pt>
                <c:pt idx="24">
                  <c:v>1.06</c:v>
                </c:pt>
                <c:pt idx="25">
                  <c:v>1.05</c:v>
                </c:pt>
                <c:pt idx="26">
                  <c:v>1.05</c:v>
                </c:pt>
                <c:pt idx="27">
                  <c:v>1.03</c:v>
                </c:pt>
                <c:pt idx="28">
                  <c:v>1.04</c:v>
                </c:pt>
                <c:pt idx="29">
                  <c:v>1.05</c:v>
                </c:pt>
              </c:numCache>
            </c:numRef>
          </c:xVal>
          <c:yVal>
            <c:numRef>
              <c:f>'Исходные данные 2'!$B$2:$B$31</c:f>
              <c:numCache>
                <c:formatCode>General</c:formatCode>
                <c:ptCount val="30"/>
                <c:pt idx="0">
                  <c:v>335</c:v>
                </c:pt>
                <c:pt idx="1">
                  <c:v>336</c:v>
                </c:pt>
                <c:pt idx="2">
                  <c:v>388</c:v>
                </c:pt>
                <c:pt idx="3">
                  <c:v>420</c:v>
                </c:pt>
                <c:pt idx="4">
                  <c:v>450</c:v>
                </c:pt>
                <c:pt idx="5">
                  <c:v>450</c:v>
                </c:pt>
                <c:pt idx="6">
                  <c:v>500</c:v>
                </c:pt>
                <c:pt idx="7">
                  <c:v>520</c:v>
                </c:pt>
                <c:pt idx="8">
                  <c:v>550</c:v>
                </c:pt>
                <c:pt idx="9">
                  <c:v>600</c:v>
                </c:pt>
                <c:pt idx="10">
                  <c:v>605</c:v>
                </c:pt>
                <c:pt idx="11">
                  <c:v>620</c:v>
                </c:pt>
                <c:pt idx="12">
                  <c:v>630</c:v>
                </c:pt>
                <c:pt idx="13">
                  <c:v>655</c:v>
                </c:pt>
                <c:pt idx="14">
                  <c:v>690</c:v>
                </c:pt>
                <c:pt idx="15">
                  <c:v>690</c:v>
                </c:pt>
                <c:pt idx="16">
                  <c:v>710</c:v>
                </c:pt>
                <c:pt idx="17">
                  <c:v>720</c:v>
                </c:pt>
                <c:pt idx="18">
                  <c:v>745</c:v>
                </c:pt>
                <c:pt idx="19">
                  <c:v>760</c:v>
                </c:pt>
                <c:pt idx="20">
                  <c:v>780</c:v>
                </c:pt>
                <c:pt idx="21">
                  <c:v>840</c:v>
                </c:pt>
                <c:pt idx="22">
                  <c:v>845</c:v>
                </c:pt>
                <c:pt idx="23">
                  <c:v>850</c:v>
                </c:pt>
                <c:pt idx="24">
                  <c:v>860</c:v>
                </c:pt>
                <c:pt idx="25">
                  <c:v>890</c:v>
                </c:pt>
                <c:pt idx="26">
                  <c:v>940</c:v>
                </c:pt>
                <c:pt idx="27">
                  <c:v>960</c:v>
                </c:pt>
                <c:pt idx="28">
                  <c:v>980</c:v>
                </c:pt>
                <c:pt idx="29">
                  <c:v>990</c:v>
                </c:pt>
              </c:numCache>
            </c:numRef>
          </c:yVal>
          <c:smooth val="0"/>
        </c:ser>
        <c:ser>
          <c:idx val="1"/>
          <c:order val="1"/>
          <c:tx>
            <c:strRef>
              <c:f>"Предсказанное Прибыль, млн руб., Y"</c:f>
              <c:strCache>
                <c:ptCount val="1"/>
                <c:pt idx="0">
                  <c:v>Предсказанное Прибыль, млн руб., Y</c:v>
                </c:pt>
              </c:strCache>
            </c:strRef>
          </c:tx>
          <c:spPr>
            <a:ln w="19050" cap="rnd" cmpd="sng" algn="ctr">
              <a:noFill/>
              <a:prstDash val="solid"/>
              <a:round/>
            </a:ln>
          </c:spPr>
          <c:dLbls>
            <c:delete val="1"/>
          </c:dLbls>
          <c:xVal>
            <c:numRef>
              <c:f>'Исходные данные 2'!$H$2:$H$31</c:f>
              <c:numCache>
                <c:formatCode>General</c:formatCode>
                <c:ptCount val="30"/>
                <c:pt idx="0">
                  <c:v>1.02</c:v>
                </c:pt>
                <c:pt idx="1">
                  <c:v>1.03</c:v>
                </c:pt>
                <c:pt idx="2">
                  <c:v>1.02</c:v>
                </c:pt>
                <c:pt idx="3">
                  <c:v>1.04</c:v>
                </c:pt>
                <c:pt idx="4">
                  <c:v>1.03</c:v>
                </c:pt>
                <c:pt idx="5">
                  <c:v>1.03</c:v>
                </c:pt>
                <c:pt idx="6">
                  <c:v>1.04</c:v>
                </c:pt>
                <c:pt idx="7">
                  <c:v>1.05</c:v>
                </c:pt>
                <c:pt idx="8">
                  <c:v>1.07</c:v>
                </c:pt>
                <c:pt idx="9">
                  <c:v>1.2</c:v>
                </c:pt>
                <c:pt idx="10">
                  <c:v>1.25</c:v>
                </c:pt>
                <c:pt idx="11">
                  <c:v>1.28</c:v>
                </c:pt>
                <c:pt idx="12">
                  <c:v>1.32</c:v>
                </c:pt>
                <c:pt idx="13">
                  <c:v>1.35</c:v>
                </c:pt>
                <c:pt idx="14">
                  <c:v>1.32</c:v>
                </c:pt>
                <c:pt idx="15">
                  <c:v>1.32</c:v>
                </c:pt>
                <c:pt idx="16">
                  <c:v>1.45</c:v>
                </c:pt>
                <c:pt idx="17">
                  <c:v>1.48</c:v>
                </c:pt>
                <c:pt idx="18">
                  <c:v>1.31</c:v>
                </c:pt>
                <c:pt idx="19">
                  <c:v>1.22</c:v>
                </c:pt>
                <c:pt idx="20">
                  <c:v>1.15</c:v>
                </c:pt>
                <c:pt idx="21">
                  <c:v>1.11</c:v>
                </c:pt>
                <c:pt idx="22">
                  <c:v>1.08</c:v>
                </c:pt>
                <c:pt idx="23">
                  <c:v>1.06</c:v>
                </c:pt>
                <c:pt idx="24">
                  <c:v>1.06</c:v>
                </c:pt>
                <c:pt idx="25">
                  <c:v>1.05</c:v>
                </c:pt>
                <c:pt idx="26">
                  <c:v>1.05</c:v>
                </c:pt>
                <c:pt idx="27">
                  <c:v>1.03</c:v>
                </c:pt>
                <c:pt idx="28">
                  <c:v>1.04</c:v>
                </c:pt>
                <c:pt idx="29">
                  <c:v>1.05</c:v>
                </c:pt>
              </c:numCache>
            </c:numRef>
          </c:xVal>
          <c:yVal>
            <c:numRef>
              <c:f>'Анализ данных 2'!$B$31:$B$60</c:f>
              <c:numCache>
                <c:formatCode>General</c:formatCode>
                <c:ptCount val="30"/>
                <c:pt idx="0">
                  <c:v>359.028510635131</c:v>
                </c:pt>
                <c:pt idx="1">
                  <c:v>392.730332802731</c:v>
                </c:pt>
                <c:pt idx="2">
                  <c:v>397.438513895718</c:v>
                </c:pt>
                <c:pt idx="3">
                  <c:v>429.135541739942</c:v>
                </c:pt>
                <c:pt idx="4">
                  <c:v>460.844615164649</c:v>
                </c:pt>
                <c:pt idx="5">
                  <c:v>453.90626848857</c:v>
                </c:pt>
                <c:pt idx="6">
                  <c:v>490.195264769036</c:v>
                </c:pt>
                <c:pt idx="7">
                  <c:v>490.529654685484</c:v>
                </c:pt>
                <c:pt idx="8">
                  <c:v>494.080856636987</c:v>
                </c:pt>
                <c:pt idx="9">
                  <c:v>574.132606986819</c:v>
                </c:pt>
                <c:pt idx="10">
                  <c:v>655.656116607132</c:v>
                </c:pt>
                <c:pt idx="11">
                  <c:v>613.254946033751</c:v>
                </c:pt>
                <c:pt idx="12">
                  <c:v>625.029167897143</c:v>
                </c:pt>
                <c:pt idx="13">
                  <c:v>632.69493572748</c:v>
                </c:pt>
                <c:pt idx="14">
                  <c:v>669.486859479263</c:v>
                </c:pt>
                <c:pt idx="15">
                  <c:v>665.386273181038</c:v>
                </c:pt>
                <c:pt idx="16">
                  <c:v>697.475676596946</c:v>
                </c:pt>
                <c:pt idx="17">
                  <c:v>777.176328101095</c:v>
                </c:pt>
                <c:pt idx="18">
                  <c:v>760.476807447602</c:v>
                </c:pt>
                <c:pt idx="19">
                  <c:v>755.917333449687</c:v>
                </c:pt>
                <c:pt idx="20">
                  <c:v>769.004640248051</c:v>
                </c:pt>
                <c:pt idx="21">
                  <c:v>789.831234112415</c:v>
                </c:pt>
                <c:pt idx="22">
                  <c:v>832.138205040638</c:v>
                </c:pt>
                <c:pt idx="23">
                  <c:v>882.624967725462</c:v>
                </c:pt>
                <c:pt idx="24">
                  <c:v>860.18134270061</c:v>
                </c:pt>
                <c:pt idx="25">
                  <c:v>912.962680646395</c:v>
                </c:pt>
                <c:pt idx="26">
                  <c:v>935.919875246075</c:v>
                </c:pt>
                <c:pt idx="27">
                  <c:v>939.603630512119</c:v>
                </c:pt>
                <c:pt idx="28">
                  <c:v>988.301089043218</c:v>
                </c:pt>
                <c:pt idx="29">
                  <c:v>1003.85572439881</c:v>
                </c:pt>
              </c:numCache>
            </c:numRef>
          </c:yVal>
          <c:smooth val="0"/>
        </c:ser>
        <c:dLbls>
          <c:showLegendKey val="0"/>
          <c:showVal val="0"/>
          <c:showCatName val="0"/>
          <c:showSerName val="0"/>
          <c:showPercent val="0"/>
          <c:showBubbleSize val="0"/>
        </c:dLbls>
        <c:axId val="1182978575"/>
        <c:axId val="1229397263"/>
      </c:scatterChart>
      <c:valAx>
        <c:axId val="1182978575"/>
        <c:scaling>
          <c:orientation val="minMax"/>
        </c:scaling>
        <c:delete val="0"/>
        <c:axPos val="b"/>
        <c:title>
          <c:tx>
            <c:rich>
              <a:bodyPr rot="0" spcFirstLastPara="0" vertOverflow="ellipsis" vert="horz" wrap="square" anchor="ctr" anchorCtr="1"/>
              <a:lstStyle/>
              <a:p>
                <a:pPr>
                  <a:defRPr lang="ru-RU" sz="1000" b="1" i="0" u="none" strike="noStrike" kern="1200" baseline="0">
                    <a:solidFill>
                      <a:schemeClr val="tx1"/>
                    </a:solidFill>
                    <a:latin typeface="+mn-lt"/>
                    <a:ea typeface="+mn-ea"/>
                    <a:cs typeface="+mn-cs"/>
                  </a:defRPr>
                </a:pPr>
                <a:r>
                  <a:rPr lang="ru-RU"/>
                  <a:t>Индекс рыночных цен, в разах, </a:t>
                </a:r>
                <a:r>
                  <a:rPr lang="en-US"/>
                  <a:t>X8</a:t>
                </a:r>
                <a:endParaRPr lang="en-US"/>
              </a:p>
            </c:rich>
          </c:tx>
          <c:layout/>
          <c:overlay val="0"/>
        </c:title>
        <c:numFmt formatCode="General" sourceLinked="1"/>
        <c:majorTickMark val="out"/>
        <c:minorTickMark val="none"/>
        <c:tickLblPos val="nextTo"/>
        <c:txPr>
          <a:bodyPr rot="-60000000" spcFirstLastPara="0" vertOverflow="ellipsis" vert="horz" wrap="square" anchor="ctr" anchorCtr="1"/>
          <a:lstStyle/>
          <a:p>
            <a:pPr>
              <a:defRPr lang="ru-RU" sz="1000" b="0" i="0" u="none" strike="noStrike" kern="1200" baseline="0">
                <a:solidFill>
                  <a:schemeClr val="tx1"/>
                </a:solidFill>
                <a:latin typeface="+mn-lt"/>
                <a:ea typeface="+mn-ea"/>
                <a:cs typeface="+mn-cs"/>
              </a:defRPr>
            </a:pPr>
          </a:p>
        </c:txPr>
        <c:crossAx val="1229397263"/>
        <c:crosses val="autoZero"/>
        <c:crossBetween val="midCat"/>
      </c:valAx>
      <c:valAx>
        <c:axId val="1229397263"/>
        <c:scaling>
          <c:orientation val="minMax"/>
        </c:scaling>
        <c:delete val="0"/>
        <c:axPos val="l"/>
        <c:title>
          <c:tx>
            <c:rich>
              <a:bodyPr rot="-5400000" spcFirstLastPara="0" vertOverflow="ellipsis" vert="horz" wrap="square" anchor="ctr" anchorCtr="1"/>
              <a:lstStyle/>
              <a:p>
                <a:pPr>
                  <a:defRPr lang="ru-RU" sz="1000" b="1" i="0" u="none" strike="noStrike" kern="1200" baseline="0">
                    <a:solidFill>
                      <a:schemeClr val="tx1"/>
                    </a:solidFill>
                    <a:latin typeface="+mn-lt"/>
                    <a:ea typeface="+mn-ea"/>
                    <a:cs typeface="+mn-cs"/>
                  </a:defRPr>
                </a:pPr>
                <a:r>
                  <a:rPr lang="ru-RU"/>
                  <a:t>Прибыль, млн руб., </a:t>
                </a:r>
                <a:r>
                  <a:rPr lang="en-US"/>
                  <a:t>Y</a:t>
                </a:r>
                <a:endParaRPr lang="en-US"/>
              </a:p>
            </c:rich>
          </c:tx>
          <c:layout/>
          <c:overlay val="0"/>
        </c:title>
        <c:numFmt formatCode="General" sourceLinked="1"/>
        <c:majorTickMark val="out"/>
        <c:minorTickMark val="none"/>
        <c:tickLblPos val="nextTo"/>
        <c:txPr>
          <a:bodyPr rot="-60000000" spcFirstLastPara="0" vertOverflow="ellipsis" vert="horz" wrap="square" anchor="ctr" anchorCtr="1"/>
          <a:lstStyle/>
          <a:p>
            <a:pPr>
              <a:defRPr lang="ru-RU" sz="1000" b="0" i="0" u="none" strike="noStrike" kern="1200" baseline="0">
                <a:solidFill>
                  <a:schemeClr val="tx1"/>
                </a:solidFill>
                <a:latin typeface="+mn-lt"/>
                <a:ea typeface="+mn-ea"/>
                <a:cs typeface="+mn-cs"/>
              </a:defRPr>
            </a:pPr>
          </a:p>
        </c:txPr>
        <c:crossAx val="1182978575"/>
        <c:crosses val="autoZero"/>
        <c:crossBetween val="midCat"/>
      </c:valAx>
    </c:plotArea>
    <c:legend>
      <c:legendPos val="r"/>
      <c:layout/>
      <c:overlay val="0"/>
      <c:txPr>
        <a:bodyPr rot="0" spcFirstLastPara="0" vertOverflow="ellipsis" vert="horz" wrap="square" anchor="ctr" anchorCtr="1"/>
        <a:lstStyle/>
        <a:p>
          <a:pPr>
            <a:defRPr lang="ru-RU" sz="1000" b="0" i="0" u="none" strike="noStrike" kern="1200" baseline="0">
              <a:solidFill>
                <a:schemeClr val="tx1"/>
              </a:solidFill>
              <a:latin typeface="+mn-lt"/>
              <a:ea typeface="+mn-ea"/>
              <a:cs typeface="+mn-cs"/>
            </a:defRPr>
          </a:pPr>
        </a:p>
      </c:txPr>
    </c:legend>
    <c:plotVisOnly val="1"/>
    <c:dispBlanksAs val="gap"/>
    <c:showDLblsOverMax val="0"/>
    <c:extLst>
      <c:ext uri="{0b15fc19-7d7d-44ad-8c2d-2c3a37ce22c3}">
        <chartProps xmlns="https://web.wps.cn/et/2018/main" chartId="{d07f8a62-a2ae-4db3-a969-6d10a260f94d}"/>
      </c:ext>
    </c:extLst>
  </c:chart>
  <c:txPr>
    <a:bodyPr/>
    <a:lstStyle/>
    <a:p>
      <a:pPr>
        <a:defRPr lang="ru-RU"/>
      </a:pPr>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0" vertOverflow="ellipsis" vert="horz" wrap="square" anchor="ctr" anchorCtr="1"/>
          <a:lstStyle/>
          <a:p>
            <a:pPr>
              <a:defRPr lang="ru-RU" sz="1800" b="1" i="0" u="none" strike="noStrike" kern="1200" baseline="0">
                <a:solidFill>
                  <a:schemeClr val="tx1"/>
                </a:solidFill>
                <a:latin typeface="+mn-lt"/>
                <a:ea typeface="+mn-ea"/>
                <a:cs typeface="+mn-cs"/>
              </a:defRPr>
            </a:pPr>
            <a:r>
              <a:rPr lang="ru-RU"/>
              <a:t>Уровень использования производственных мощностей, %, </a:t>
            </a:r>
            <a:r>
              <a:rPr lang="en-US"/>
              <a:t>X9 </a:t>
            </a:r>
            <a:r>
              <a:rPr lang="ru-RU"/>
              <a:t>График подбора</a:t>
            </a:r>
            <a:endParaRPr lang="ru-RU"/>
          </a:p>
        </c:rich>
      </c:tx>
      <c:layout/>
      <c:overlay val="0"/>
    </c:title>
    <c:autoTitleDeleted val="0"/>
    <c:plotArea>
      <c:layout/>
      <c:scatterChart>
        <c:scatterStyle val="marker"/>
        <c:varyColors val="0"/>
        <c:ser>
          <c:idx val="0"/>
          <c:order val="0"/>
          <c:tx>
            <c:strRef>
              <c:f>"Прибыль, млн руб., Y"</c:f>
              <c:strCache>
                <c:ptCount val="1"/>
                <c:pt idx="0">
                  <c:v>Прибыль, млн руб., Y</c:v>
                </c:pt>
              </c:strCache>
            </c:strRef>
          </c:tx>
          <c:spPr>
            <a:ln w="19050" cap="rnd" cmpd="sng" algn="ctr">
              <a:noFill/>
              <a:prstDash val="solid"/>
              <a:round/>
            </a:ln>
          </c:spPr>
          <c:dLbls>
            <c:delete val="1"/>
          </c:dLbls>
          <c:xVal>
            <c:numRef>
              <c:f>'Исходные данные 2'!$I$2:$I$31</c:f>
              <c:numCache>
                <c:formatCode>General</c:formatCode>
                <c:ptCount val="30"/>
                <c:pt idx="0">
                  <c:v>96</c:v>
                </c:pt>
                <c:pt idx="1">
                  <c:v>97</c:v>
                </c:pt>
                <c:pt idx="2">
                  <c:v>96</c:v>
                </c:pt>
                <c:pt idx="3">
                  <c:v>93</c:v>
                </c:pt>
                <c:pt idx="4">
                  <c:v>93</c:v>
                </c:pt>
                <c:pt idx="5">
                  <c:v>94</c:v>
                </c:pt>
                <c:pt idx="6">
                  <c:v>95</c:v>
                </c:pt>
                <c:pt idx="7">
                  <c:v>95</c:v>
                </c:pt>
                <c:pt idx="8">
                  <c:v>95</c:v>
                </c:pt>
                <c:pt idx="9">
                  <c:v>95</c:v>
                </c:pt>
                <c:pt idx="10">
                  <c:v>88</c:v>
                </c:pt>
                <c:pt idx="11">
                  <c:v>85</c:v>
                </c:pt>
                <c:pt idx="12">
                  <c:v>72</c:v>
                </c:pt>
                <c:pt idx="13">
                  <c:v>68</c:v>
                </c:pt>
                <c:pt idx="14">
                  <c:v>66</c:v>
                </c:pt>
                <c:pt idx="15">
                  <c:v>62</c:v>
                </c:pt>
                <c:pt idx="16">
                  <c:v>60</c:v>
                </c:pt>
                <c:pt idx="17">
                  <c:v>60</c:v>
                </c:pt>
                <c:pt idx="18">
                  <c:v>70</c:v>
                </c:pt>
                <c:pt idx="19">
                  <c:v>80</c:v>
                </c:pt>
                <c:pt idx="20">
                  <c:v>87</c:v>
                </c:pt>
                <c:pt idx="21">
                  <c:v>89</c:v>
                </c:pt>
                <c:pt idx="22">
                  <c:v>89</c:v>
                </c:pt>
                <c:pt idx="23">
                  <c:v>89</c:v>
                </c:pt>
                <c:pt idx="24">
                  <c:v>87</c:v>
                </c:pt>
                <c:pt idx="25">
                  <c:v>83</c:v>
                </c:pt>
                <c:pt idx="26">
                  <c:v>88</c:v>
                </c:pt>
                <c:pt idx="27">
                  <c:v>96</c:v>
                </c:pt>
                <c:pt idx="28">
                  <c:v>97</c:v>
                </c:pt>
                <c:pt idx="29">
                  <c:v>90</c:v>
                </c:pt>
              </c:numCache>
            </c:numRef>
          </c:xVal>
          <c:yVal>
            <c:numRef>
              <c:f>'Исходные данные 2'!$B$2:$B$31</c:f>
              <c:numCache>
                <c:formatCode>General</c:formatCode>
                <c:ptCount val="30"/>
                <c:pt idx="0">
                  <c:v>335</c:v>
                </c:pt>
                <c:pt idx="1">
                  <c:v>336</c:v>
                </c:pt>
                <c:pt idx="2">
                  <c:v>388</c:v>
                </c:pt>
                <c:pt idx="3">
                  <c:v>420</c:v>
                </c:pt>
                <c:pt idx="4">
                  <c:v>450</c:v>
                </c:pt>
                <c:pt idx="5">
                  <c:v>450</c:v>
                </c:pt>
                <c:pt idx="6">
                  <c:v>500</c:v>
                </c:pt>
                <c:pt idx="7">
                  <c:v>520</c:v>
                </c:pt>
                <c:pt idx="8">
                  <c:v>550</c:v>
                </c:pt>
                <c:pt idx="9">
                  <c:v>600</c:v>
                </c:pt>
                <c:pt idx="10">
                  <c:v>605</c:v>
                </c:pt>
                <c:pt idx="11">
                  <c:v>620</c:v>
                </c:pt>
                <c:pt idx="12">
                  <c:v>630</c:v>
                </c:pt>
                <c:pt idx="13">
                  <c:v>655</c:v>
                </c:pt>
                <c:pt idx="14">
                  <c:v>690</c:v>
                </c:pt>
                <c:pt idx="15">
                  <c:v>690</c:v>
                </c:pt>
                <c:pt idx="16">
                  <c:v>710</c:v>
                </c:pt>
                <c:pt idx="17">
                  <c:v>720</c:v>
                </c:pt>
                <c:pt idx="18">
                  <c:v>745</c:v>
                </c:pt>
                <c:pt idx="19">
                  <c:v>760</c:v>
                </c:pt>
                <c:pt idx="20">
                  <c:v>780</c:v>
                </c:pt>
                <c:pt idx="21">
                  <c:v>840</c:v>
                </c:pt>
                <c:pt idx="22">
                  <c:v>845</c:v>
                </c:pt>
                <c:pt idx="23">
                  <c:v>850</c:v>
                </c:pt>
                <c:pt idx="24">
                  <c:v>860</c:v>
                </c:pt>
                <c:pt idx="25">
                  <c:v>890</c:v>
                </c:pt>
                <c:pt idx="26">
                  <c:v>940</c:v>
                </c:pt>
                <c:pt idx="27">
                  <c:v>960</c:v>
                </c:pt>
                <c:pt idx="28">
                  <c:v>980</c:v>
                </c:pt>
                <c:pt idx="29">
                  <c:v>990</c:v>
                </c:pt>
              </c:numCache>
            </c:numRef>
          </c:yVal>
          <c:smooth val="0"/>
        </c:ser>
        <c:ser>
          <c:idx val="1"/>
          <c:order val="1"/>
          <c:tx>
            <c:strRef>
              <c:f>"Предсказанное Прибыль, млн руб., Y"</c:f>
              <c:strCache>
                <c:ptCount val="1"/>
                <c:pt idx="0">
                  <c:v>Предсказанное Прибыль, млн руб., Y</c:v>
                </c:pt>
              </c:strCache>
            </c:strRef>
          </c:tx>
          <c:spPr>
            <a:ln w="19050" cap="rnd" cmpd="sng" algn="ctr">
              <a:noFill/>
              <a:prstDash val="solid"/>
              <a:round/>
            </a:ln>
          </c:spPr>
          <c:dLbls>
            <c:delete val="1"/>
          </c:dLbls>
          <c:xVal>
            <c:numRef>
              <c:f>'Исходные данные 2'!$I$2:$I$31</c:f>
              <c:numCache>
                <c:formatCode>General</c:formatCode>
                <c:ptCount val="30"/>
                <c:pt idx="0">
                  <c:v>96</c:v>
                </c:pt>
                <c:pt idx="1">
                  <c:v>97</c:v>
                </c:pt>
                <c:pt idx="2">
                  <c:v>96</c:v>
                </c:pt>
                <c:pt idx="3">
                  <c:v>93</c:v>
                </c:pt>
                <c:pt idx="4">
                  <c:v>93</c:v>
                </c:pt>
                <c:pt idx="5">
                  <c:v>94</c:v>
                </c:pt>
                <c:pt idx="6">
                  <c:v>95</c:v>
                </c:pt>
                <c:pt idx="7">
                  <c:v>95</c:v>
                </c:pt>
                <c:pt idx="8">
                  <c:v>95</c:v>
                </c:pt>
                <c:pt idx="9">
                  <c:v>95</c:v>
                </c:pt>
                <c:pt idx="10">
                  <c:v>88</c:v>
                </c:pt>
                <c:pt idx="11">
                  <c:v>85</c:v>
                </c:pt>
                <c:pt idx="12">
                  <c:v>72</c:v>
                </c:pt>
                <c:pt idx="13">
                  <c:v>68</c:v>
                </c:pt>
                <c:pt idx="14">
                  <c:v>66</c:v>
                </c:pt>
                <c:pt idx="15">
                  <c:v>62</c:v>
                </c:pt>
                <c:pt idx="16">
                  <c:v>60</c:v>
                </c:pt>
                <c:pt idx="17">
                  <c:v>60</c:v>
                </c:pt>
                <c:pt idx="18">
                  <c:v>70</c:v>
                </c:pt>
                <c:pt idx="19">
                  <c:v>80</c:v>
                </c:pt>
                <c:pt idx="20">
                  <c:v>87</c:v>
                </c:pt>
                <c:pt idx="21">
                  <c:v>89</c:v>
                </c:pt>
                <c:pt idx="22">
                  <c:v>89</c:v>
                </c:pt>
                <c:pt idx="23">
                  <c:v>89</c:v>
                </c:pt>
                <c:pt idx="24">
                  <c:v>87</c:v>
                </c:pt>
                <c:pt idx="25">
                  <c:v>83</c:v>
                </c:pt>
                <c:pt idx="26">
                  <c:v>88</c:v>
                </c:pt>
                <c:pt idx="27">
                  <c:v>96</c:v>
                </c:pt>
                <c:pt idx="28">
                  <c:v>97</c:v>
                </c:pt>
                <c:pt idx="29">
                  <c:v>90</c:v>
                </c:pt>
              </c:numCache>
            </c:numRef>
          </c:xVal>
          <c:yVal>
            <c:numRef>
              <c:f>'Анализ данных 2'!$B$31:$B$60</c:f>
              <c:numCache>
                <c:formatCode>General</c:formatCode>
                <c:ptCount val="30"/>
                <c:pt idx="0">
                  <c:v>359.028510635131</c:v>
                </c:pt>
                <c:pt idx="1">
                  <c:v>392.730332802731</c:v>
                </c:pt>
                <c:pt idx="2">
                  <c:v>397.438513895718</c:v>
                </c:pt>
                <c:pt idx="3">
                  <c:v>429.135541739942</c:v>
                </c:pt>
                <c:pt idx="4">
                  <c:v>460.844615164649</c:v>
                </c:pt>
                <c:pt idx="5">
                  <c:v>453.90626848857</c:v>
                </c:pt>
                <c:pt idx="6">
                  <c:v>490.195264769036</c:v>
                </c:pt>
                <c:pt idx="7">
                  <c:v>490.529654685484</c:v>
                </c:pt>
                <c:pt idx="8">
                  <c:v>494.080856636987</c:v>
                </c:pt>
                <c:pt idx="9">
                  <c:v>574.132606986819</c:v>
                </c:pt>
                <c:pt idx="10">
                  <c:v>655.656116607132</c:v>
                </c:pt>
                <c:pt idx="11">
                  <c:v>613.254946033751</c:v>
                </c:pt>
                <c:pt idx="12">
                  <c:v>625.029167897143</c:v>
                </c:pt>
                <c:pt idx="13">
                  <c:v>632.69493572748</c:v>
                </c:pt>
                <c:pt idx="14">
                  <c:v>669.486859479263</c:v>
                </c:pt>
                <c:pt idx="15">
                  <c:v>665.386273181038</c:v>
                </c:pt>
                <c:pt idx="16">
                  <c:v>697.475676596946</c:v>
                </c:pt>
                <c:pt idx="17">
                  <c:v>777.176328101095</c:v>
                </c:pt>
                <c:pt idx="18">
                  <c:v>760.476807447602</c:v>
                </c:pt>
                <c:pt idx="19">
                  <c:v>755.917333449687</c:v>
                </c:pt>
                <c:pt idx="20">
                  <c:v>769.004640248051</c:v>
                </c:pt>
                <c:pt idx="21">
                  <c:v>789.831234112415</c:v>
                </c:pt>
                <c:pt idx="22">
                  <c:v>832.138205040638</c:v>
                </c:pt>
                <c:pt idx="23">
                  <c:v>882.624967725462</c:v>
                </c:pt>
                <c:pt idx="24">
                  <c:v>860.18134270061</c:v>
                </c:pt>
                <c:pt idx="25">
                  <c:v>912.962680646395</c:v>
                </c:pt>
                <c:pt idx="26">
                  <c:v>935.919875246075</c:v>
                </c:pt>
                <c:pt idx="27">
                  <c:v>939.603630512119</c:v>
                </c:pt>
                <c:pt idx="28">
                  <c:v>988.301089043218</c:v>
                </c:pt>
                <c:pt idx="29">
                  <c:v>1003.85572439881</c:v>
                </c:pt>
              </c:numCache>
            </c:numRef>
          </c:yVal>
          <c:smooth val="0"/>
        </c:ser>
        <c:dLbls>
          <c:showLegendKey val="0"/>
          <c:showVal val="0"/>
          <c:showCatName val="0"/>
          <c:showSerName val="0"/>
          <c:showPercent val="0"/>
          <c:showBubbleSize val="0"/>
        </c:dLbls>
        <c:axId val="1182971775"/>
        <c:axId val="1229391855"/>
      </c:scatterChart>
      <c:valAx>
        <c:axId val="1182971775"/>
        <c:scaling>
          <c:orientation val="minMax"/>
        </c:scaling>
        <c:delete val="0"/>
        <c:axPos val="b"/>
        <c:title>
          <c:tx>
            <c:rich>
              <a:bodyPr rot="0" spcFirstLastPara="0" vertOverflow="ellipsis" vert="horz" wrap="square" anchor="ctr" anchorCtr="1"/>
              <a:lstStyle/>
              <a:p>
                <a:pPr>
                  <a:defRPr lang="ru-RU" sz="1000" b="1" i="0" u="none" strike="noStrike" kern="1200" baseline="0">
                    <a:solidFill>
                      <a:schemeClr val="tx1"/>
                    </a:solidFill>
                    <a:latin typeface="+mn-lt"/>
                    <a:ea typeface="+mn-ea"/>
                    <a:cs typeface="+mn-cs"/>
                  </a:defRPr>
                </a:pPr>
                <a:r>
                  <a:rPr lang="ru-RU"/>
                  <a:t>Уровень использования производственных мощностей, %, </a:t>
                </a:r>
                <a:r>
                  <a:rPr lang="en-US"/>
                  <a:t>X9</a:t>
                </a:r>
                <a:endParaRPr lang="en-US"/>
              </a:p>
            </c:rich>
          </c:tx>
          <c:layout/>
          <c:overlay val="0"/>
        </c:title>
        <c:numFmt formatCode="General" sourceLinked="1"/>
        <c:majorTickMark val="out"/>
        <c:minorTickMark val="none"/>
        <c:tickLblPos val="nextTo"/>
        <c:txPr>
          <a:bodyPr rot="-60000000" spcFirstLastPara="0" vertOverflow="ellipsis" vert="horz" wrap="square" anchor="ctr" anchorCtr="1"/>
          <a:lstStyle/>
          <a:p>
            <a:pPr>
              <a:defRPr lang="ru-RU" sz="1000" b="0" i="0" u="none" strike="noStrike" kern="1200" baseline="0">
                <a:solidFill>
                  <a:schemeClr val="tx1"/>
                </a:solidFill>
                <a:latin typeface="+mn-lt"/>
                <a:ea typeface="+mn-ea"/>
                <a:cs typeface="+mn-cs"/>
              </a:defRPr>
            </a:pPr>
          </a:p>
        </c:txPr>
        <c:crossAx val="1229391855"/>
        <c:crosses val="autoZero"/>
        <c:crossBetween val="midCat"/>
      </c:valAx>
      <c:valAx>
        <c:axId val="1229391855"/>
        <c:scaling>
          <c:orientation val="minMax"/>
        </c:scaling>
        <c:delete val="0"/>
        <c:axPos val="l"/>
        <c:title>
          <c:tx>
            <c:rich>
              <a:bodyPr rot="-5400000" spcFirstLastPara="0" vertOverflow="ellipsis" vert="horz" wrap="square" anchor="ctr" anchorCtr="1"/>
              <a:lstStyle/>
              <a:p>
                <a:pPr>
                  <a:defRPr lang="ru-RU" sz="1000" b="1" i="0" u="none" strike="noStrike" kern="1200" baseline="0">
                    <a:solidFill>
                      <a:schemeClr val="tx1"/>
                    </a:solidFill>
                    <a:latin typeface="+mn-lt"/>
                    <a:ea typeface="+mn-ea"/>
                    <a:cs typeface="+mn-cs"/>
                  </a:defRPr>
                </a:pPr>
                <a:r>
                  <a:rPr lang="ru-RU"/>
                  <a:t>Прибыль, млн руб., </a:t>
                </a:r>
                <a:r>
                  <a:rPr lang="en-US"/>
                  <a:t>Y</a:t>
                </a:r>
                <a:endParaRPr lang="en-US"/>
              </a:p>
            </c:rich>
          </c:tx>
          <c:layout/>
          <c:overlay val="0"/>
        </c:title>
        <c:numFmt formatCode="General" sourceLinked="1"/>
        <c:majorTickMark val="out"/>
        <c:minorTickMark val="none"/>
        <c:tickLblPos val="nextTo"/>
        <c:txPr>
          <a:bodyPr rot="-60000000" spcFirstLastPara="0" vertOverflow="ellipsis" vert="horz" wrap="square" anchor="ctr" anchorCtr="1"/>
          <a:lstStyle/>
          <a:p>
            <a:pPr>
              <a:defRPr lang="ru-RU" sz="1000" b="0" i="0" u="none" strike="noStrike" kern="1200" baseline="0">
                <a:solidFill>
                  <a:schemeClr val="tx1"/>
                </a:solidFill>
                <a:latin typeface="+mn-lt"/>
                <a:ea typeface="+mn-ea"/>
                <a:cs typeface="+mn-cs"/>
              </a:defRPr>
            </a:pPr>
          </a:p>
        </c:txPr>
        <c:crossAx val="1182971775"/>
        <c:crosses val="autoZero"/>
        <c:crossBetween val="midCat"/>
      </c:valAx>
    </c:plotArea>
    <c:legend>
      <c:legendPos val="r"/>
      <c:layout/>
      <c:overlay val="0"/>
      <c:txPr>
        <a:bodyPr rot="0" spcFirstLastPara="0" vertOverflow="ellipsis" vert="horz" wrap="square" anchor="ctr" anchorCtr="1"/>
        <a:lstStyle/>
        <a:p>
          <a:pPr>
            <a:defRPr lang="ru-RU" sz="1000" b="0" i="0" u="none" strike="noStrike" kern="1200" baseline="0">
              <a:solidFill>
                <a:schemeClr val="tx1"/>
              </a:solidFill>
              <a:latin typeface="+mn-lt"/>
              <a:ea typeface="+mn-ea"/>
              <a:cs typeface="+mn-cs"/>
            </a:defRPr>
          </a:pPr>
        </a:p>
      </c:txPr>
    </c:legend>
    <c:plotVisOnly val="1"/>
    <c:dispBlanksAs val="gap"/>
    <c:showDLblsOverMax val="0"/>
    <c:extLst>
      <c:ext uri="{0b15fc19-7d7d-44ad-8c2d-2c3a37ce22c3}">
        <chartProps xmlns="https://web.wps.cn/et/2018/main" chartId="{a427e363-4d01-4b89-8bde-f248659cf002}"/>
      </c:ext>
    </c:extLst>
  </c:chart>
  <c:txPr>
    <a:bodyPr/>
    <a:lstStyle/>
    <a:p>
      <a:pPr>
        <a:defRPr lang="ru-RU"/>
      </a:pPr>
    </a:p>
  </c:tx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0" vertOverflow="ellipsis" vert="horz" wrap="square" anchor="ctr" anchorCtr="1"/>
          <a:lstStyle/>
          <a:p>
            <a:pPr>
              <a:defRPr lang="ru-RU" sz="1800" b="1" i="0" u="none" strike="noStrike" kern="1200" baseline="0">
                <a:solidFill>
                  <a:schemeClr val="tx1"/>
                </a:solidFill>
                <a:latin typeface="+mn-lt"/>
                <a:ea typeface="+mn-ea"/>
                <a:cs typeface="+mn-cs"/>
              </a:defRPr>
            </a:pPr>
            <a:r>
              <a:rPr lang="ru-RU"/>
              <a:t>График нормального распределения</a:t>
            </a:r>
            <a:endParaRPr lang="ru-RU"/>
          </a:p>
        </c:rich>
      </c:tx>
      <c:layout/>
      <c:overlay val="0"/>
    </c:title>
    <c:autoTitleDeleted val="0"/>
    <c:plotArea>
      <c:layout/>
      <c:scatterChart>
        <c:scatterStyle val="marker"/>
        <c:varyColors val="0"/>
        <c:ser>
          <c:idx val="0"/>
          <c:order val="0"/>
          <c:spPr>
            <a:ln w="19050" cap="rnd" cmpd="sng" algn="ctr">
              <a:noFill/>
              <a:prstDash val="solid"/>
              <a:round/>
            </a:ln>
          </c:spPr>
          <c:dLbls>
            <c:delete val="1"/>
          </c:dLbls>
          <c:xVal>
            <c:numRef>
              <c:f>'Анализ данных 2'!$F$31:$F$60</c:f>
              <c:numCache>
                <c:formatCode>General</c:formatCode>
                <c:ptCount val="30"/>
                <c:pt idx="0">
                  <c:v>1.66666666666667</c:v>
                </c:pt>
                <c:pt idx="1">
                  <c:v>5</c:v>
                </c:pt>
                <c:pt idx="2">
                  <c:v>8.33333333333333</c:v>
                </c:pt>
                <c:pt idx="3">
                  <c:v>11.6666666666667</c:v>
                </c:pt>
                <c:pt idx="4">
                  <c:v>15</c:v>
                </c:pt>
                <c:pt idx="5">
                  <c:v>18.3333333333333</c:v>
                </c:pt>
                <c:pt idx="6">
                  <c:v>21.6666666666667</c:v>
                </c:pt>
                <c:pt idx="7">
                  <c:v>25</c:v>
                </c:pt>
                <c:pt idx="8">
                  <c:v>28.3333333333333</c:v>
                </c:pt>
                <c:pt idx="9">
                  <c:v>31.6666666666667</c:v>
                </c:pt>
                <c:pt idx="10">
                  <c:v>35</c:v>
                </c:pt>
                <c:pt idx="11">
                  <c:v>38.3333333333333</c:v>
                </c:pt>
                <c:pt idx="12">
                  <c:v>41.6666666666667</c:v>
                </c:pt>
                <c:pt idx="13">
                  <c:v>45</c:v>
                </c:pt>
                <c:pt idx="14">
                  <c:v>48.3333333333333</c:v>
                </c:pt>
                <c:pt idx="15">
                  <c:v>51.6666666666667</c:v>
                </c:pt>
                <c:pt idx="16">
                  <c:v>55</c:v>
                </c:pt>
                <c:pt idx="17">
                  <c:v>58.3333333333333</c:v>
                </c:pt>
                <c:pt idx="18">
                  <c:v>61.6666666666667</c:v>
                </c:pt>
                <c:pt idx="19">
                  <c:v>65</c:v>
                </c:pt>
                <c:pt idx="20">
                  <c:v>68.3333333333333</c:v>
                </c:pt>
                <c:pt idx="21">
                  <c:v>71.6666666666667</c:v>
                </c:pt>
                <c:pt idx="22">
                  <c:v>75</c:v>
                </c:pt>
                <c:pt idx="23">
                  <c:v>78.3333333333333</c:v>
                </c:pt>
                <c:pt idx="24">
                  <c:v>81.6666666666667</c:v>
                </c:pt>
                <c:pt idx="25">
                  <c:v>85</c:v>
                </c:pt>
                <c:pt idx="26">
                  <c:v>88.3333333333333</c:v>
                </c:pt>
                <c:pt idx="27">
                  <c:v>91.6666666666667</c:v>
                </c:pt>
                <c:pt idx="28">
                  <c:v>95</c:v>
                </c:pt>
                <c:pt idx="29">
                  <c:v>98.3333333333333</c:v>
                </c:pt>
              </c:numCache>
            </c:numRef>
          </c:xVal>
          <c:yVal>
            <c:numRef>
              <c:f>'Анализ данных 2'!$G$31:$G$60</c:f>
              <c:numCache>
                <c:formatCode>General</c:formatCode>
                <c:ptCount val="30"/>
                <c:pt idx="0">
                  <c:v>335</c:v>
                </c:pt>
                <c:pt idx="1">
                  <c:v>336</c:v>
                </c:pt>
                <c:pt idx="2">
                  <c:v>388</c:v>
                </c:pt>
                <c:pt idx="3">
                  <c:v>420</c:v>
                </c:pt>
                <c:pt idx="4">
                  <c:v>450</c:v>
                </c:pt>
                <c:pt idx="5">
                  <c:v>450</c:v>
                </c:pt>
                <c:pt idx="6">
                  <c:v>500</c:v>
                </c:pt>
                <c:pt idx="7">
                  <c:v>520</c:v>
                </c:pt>
                <c:pt idx="8">
                  <c:v>550</c:v>
                </c:pt>
                <c:pt idx="9">
                  <c:v>600</c:v>
                </c:pt>
                <c:pt idx="10">
                  <c:v>605</c:v>
                </c:pt>
                <c:pt idx="11">
                  <c:v>620</c:v>
                </c:pt>
                <c:pt idx="12">
                  <c:v>630</c:v>
                </c:pt>
                <c:pt idx="13">
                  <c:v>655</c:v>
                </c:pt>
                <c:pt idx="14">
                  <c:v>690</c:v>
                </c:pt>
                <c:pt idx="15">
                  <c:v>690</c:v>
                </c:pt>
                <c:pt idx="16">
                  <c:v>710</c:v>
                </c:pt>
                <c:pt idx="17">
                  <c:v>720</c:v>
                </c:pt>
                <c:pt idx="18">
                  <c:v>745</c:v>
                </c:pt>
                <c:pt idx="19">
                  <c:v>760</c:v>
                </c:pt>
                <c:pt idx="20">
                  <c:v>780</c:v>
                </c:pt>
                <c:pt idx="21">
                  <c:v>840</c:v>
                </c:pt>
                <c:pt idx="22">
                  <c:v>845</c:v>
                </c:pt>
                <c:pt idx="23">
                  <c:v>850</c:v>
                </c:pt>
                <c:pt idx="24">
                  <c:v>860</c:v>
                </c:pt>
                <c:pt idx="25">
                  <c:v>890</c:v>
                </c:pt>
                <c:pt idx="26">
                  <c:v>940</c:v>
                </c:pt>
                <c:pt idx="27">
                  <c:v>960</c:v>
                </c:pt>
                <c:pt idx="28">
                  <c:v>980</c:v>
                </c:pt>
                <c:pt idx="29">
                  <c:v>990</c:v>
                </c:pt>
              </c:numCache>
            </c:numRef>
          </c:yVal>
          <c:smooth val="0"/>
        </c:ser>
        <c:dLbls>
          <c:showLegendKey val="0"/>
          <c:showVal val="0"/>
          <c:showCatName val="0"/>
          <c:showSerName val="0"/>
          <c:showPercent val="0"/>
          <c:showBubbleSize val="0"/>
        </c:dLbls>
        <c:axId val="1182970175"/>
        <c:axId val="1229374383"/>
      </c:scatterChart>
      <c:valAx>
        <c:axId val="1182970175"/>
        <c:scaling>
          <c:orientation val="minMax"/>
        </c:scaling>
        <c:delete val="0"/>
        <c:axPos val="b"/>
        <c:title>
          <c:tx>
            <c:rich>
              <a:bodyPr rot="0" spcFirstLastPara="0" vertOverflow="ellipsis" vert="horz" wrap="square" anchor="ctr" anchorCtr="1"/>
              <a:lstStyle/>
              <a:p>
                <a:pPr>
                  <a:defRPr lang="ru-RU" sz="1000" b="1" i="0" u="none" strike="noStrike" kern="1200" baseline="0">
                    <a:solidFill>
                      <a:schemeClr val="tx1"/>
                    </a:solidFill>
                    <a:latin typeface="+mn-lt"/>
                    <a:ea typeface="+mn-ea"/>
                    <a:cs typeface="+mn-cs"/>
                  </a:defRPr>
                </a:pPr>
                <a:r>
                  <a:rPr lang="ru-RU"/>
                  <a:t>Персентиль выборки</a:t>
                </a:r>
                <a:endParaRPr lang="ru-RU"/>
              </a:p>
            </c:rich>
          </c:tx>
          <c:layout/>
          <c:overlay val="0"/>
        </c:title>
        <c:numFmt formatCode="General" sourceLinked="1"/>
        <c:majorTickMark val="out"/>
        <c:minorTickMark val="none"/>
        <c:tickLblPos val="nextTo"/>
        <c:txPr>
          <a:bodyPr rot="-60000000" spcFirstLastPara="0" vertOverflow="ellipsis" vert="horz" wrap="square" anchor="ctr" anchorCtr="1"/>
          <a:lstStyle/>
          <a:p>
            <a:pPr>
              <a:defRPr lang="ru-RU" sz="1000" b="0" i="0" u="none" strike="noStrike" kern="1200" baseline="0">
                <a:solidFill>
                  <a:schemeClr val="tx1"/>
                </a:solidFill>
                <a:latin typeface="+mn-lt"/>
                <a:ea typeface="+mn-ea"/>
                <a:cs typeface="+mn-cs"/>
              </a:defRPr>
            </a:pPr>
          </a:p>
        </c:txPr>
        <c:crossAx val="1229374383"/>
        <c:crosses val="autoZero"/>
        <c:crossBetween val="midCat"/>
      </c:valAx>
      <c:valAx>
        <c:axId val="1229374383"/>
        <c:scaling>
          <c:orientation val="minMax"/>
        </c:scaling>
        <c:delete val="0"/>
        <c:axPos val="l"/>
        <c:title>
          <c:tx>
            <c:rich>
              <a:bodyPr rot="-5400000" spcFirstLastPara="0" vertOverflow="ellipsis" vert="horz" wrap="square" anchor="ctr" anchorCtr="1"/>
              <a:lstStyle/>
              <a:p>
                <a:pPr>
                  <a:defRPr lang="ru-RU" sz="1000" b="1" i="0" u="none" strike="noStrike" kern="1200" baseline="0">
                    <a:solidFill>
                      <a:schemeClr val="tx1"/>
                    </a:solidFill>
                    <a:latin typeface="+mn-lt"/>
                    <a:ea typeface="+mn-ea"/>
                    <a:cs typeface="+mn-cs"/>
                  </a:defRPr>
                </a:pPr>
                <a:r>
                  <a:rPr lang="ru-RU"/>
                  <a:t>Прибыль, млн руб., </a:t>
                </a:r>
                <a:r>
                  <a:rPr lang="en-US"/>
                  <a:t>Y</a:t>
                </a:r>
                <a:endParaRPr lang="en-US"/>
              </a:p>
            </c:rich>
          </c:tx>
          <c:layout/>
          <c:overlay val="0"/>
        </c:title>
        <c:numFmt formatCode="General" sourceLinked="1"/>
        <c:majorTickMark val="out"/>
        <c:minorTickMark val="none"/>
        <c:tickLblPos val="nextTo"/>
        <c:txPr>
          <a:bodyPr rot="-60000000" spcFirstLastPara="0" vertOverflow="ellipsis" vert="horz" wrap="square" anchor="ctr" anchorCtr="1"/>
          <a:lstStyle/>
          <a:p>
            <a:pPr>
              <a:defRPr lang="ru-RU" sz="1000" b="0" i="0" u="none" strike="noStrike" kern="1200" baseline="0">
                <a:solidFill>
                  <a:schemeClr val="tx1"/>
                </a:solidFill>
                <a:latin typeface="+mn-lt"/>
                <a:ea typeface="+mn-ea"/>
                <a:cs typeface="+mn-cs"/>
              </a:defRPr>
            </a:pPr>
          </a:p>
        </c:txPr>
        <c:crossAx val="1182970175"/>
        <c:crosses val="autoZero"/>
        <c:crossBetween val="midCat"/>
      </c:valAx>
    </c:plotArea>
    <c:plotVisOnly val="1"/>
    <c:dispBlanksAs val="gap"/>
    <c:showDLblsOverMax val="0"/>
    <c:extLst>
      <c:ext uri="{0b15fc19-7d7d-44ad-8c2d-2c3a37ce22c3}">
        <chartProps xmlns="https://web.wps.cn/et/2018/main" chartId="{e19ac01f-9e53-4b2d-91ad-750a54f1713a}"/>
      </c:ext>
    </c:extLst>
  </c:chart>
  <c:txPr>
    <a:bodyPr/>
    <a:lstStyle/>
    <a:p>
      <a:pPr>
        <a:defRPr lang="ru-RU"/>
      </a:pPr>
    </a:p>
  </c:txPr>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0" vertOverflow="ellipsis" vert="horz" wrap="square" anchor="ctr" anchorCtr="1"/>
          <a:lstStyle/>
          <a:p>
            <a:pPr>
              <a:defRPr lang="ru-RU" sz="1800" b="1" i="0" u="none" strike="noStrike" kern="1200" baseline="0">
                <a:solidFill>
                  <a:schemeClr val="tx1"/>
                </a:solidFill>
                <a:latin typeface="+mn-lt"/>
                <a:ea typeface="+mn-ea"/>
                <a:cs typeface="+mn-cs"/>
              </a:defRPr>
            </a:pPr>
            <a:r>
              <a:rPr lang="ru-RU"/>
              <a:t>Инвестиции в основной капитал, млн руб., </a:t>
            </a:r>
            <a:r>
              <a:rPr lang="en-US"/>
              <a:t>X1 </a:t>
            </a:r>
            <a:r>
              <a:rPr lang="ru-RU"/>
              <a:t>График остатков</a:t>
            </a:r>
            <a:endParaRPr lang="ru-RU"/>
          </a:p>
        </c:rich>
      </c:tx>
      <c:layout/>
      <c:overlay val="0"/>
    </c:title>
    <c:autoTitleDeleted val="0"/>
    <c:plotArea>
      <c:layout/>
      <c:scatterChart>
        <c:scatterStyle val="marker"/>
        <c:varyColors val="0"/>
        <c:ser>
          <c:idx val="0"/>
          <c:order val="0"/>
          <c:spPr>
            <a:ln w="19050" cap="rnd" cmpd="sng" algn="ctr">
              <a:noFill/>
              <a:prstDash val="solid"/>
              <a:round/>
            </a:ln>
          </c:spPr>
          <c:dLbls>
            <c:delete val="1"/>
          </c:dLbls>
          <c:xVal>
            <c:numRef>
              <c:f>'Исходные данные 3'!$C$2:$C$31</c:f>
              <c:numCache>
                <c:formatCode>General</c:formatCode>
                <c:ptCount val="30"/>
                <c:pt idx="0">
                  <c:v>145</c:v>
                </c:pt>
                <c:pt idx="1">
                  <c:v>150</c:v>
                </c:pt>
                <c:pt idx="2">
                  <c:v>160</c:v>
                </c:pt>
                <c:pt idx="3">
                  <c:v>165</c:v>
                </c:pt>
                <c:pt idx="4">
                  <c:v>165</c:v>
                </c:pt>
                <c:pt idx="5">
                  <c:v>164</c:v>
                </c:pt>
                <c:pt idx="6">
                  <c:v>170</c:v>
                </c:pt>
                <c:pt idx="7">
                  <c:v>175</c:v>
                </c:pt>
                <c:pt idx="8">
                  <c:v>180</c:v>
                </c:pt>
                <c:pt idx="9">
                  <c:v>192</c:v>
                </c:pt>
                <c:pt idx="10">
                  <c:v>195</c:v>
                </c:pt>
                <c:pt idx="11">
                  <c:v>196</c:v>
                </c:pt>
                <c:pt idx="12">
                  <c:v>199</c:v>
                </c:pt>
                <c:pt idx="13">
                  <c:v>200</c:v>
                </c:pt>
                <c:pt idx="14">
                  <c:v>200</c:v>
                </c:pt>
                <c:pt idx="15">
                  <c:v>205</c:v>
                </c:pt>
                <c:pt idx="16">
                  <c:v>210</c:v>
                </c:pt>
                <c:pt idx="17">
                  <c:v>220</c:v>
                </c:pt>
                <c:pt idx="18">
                  <c:v>230</c:v>
                </c:pt>
                <c:pt idx="19">
                  <c:v>240</c:v>
                </c:pt>
                <c:pt idx="20">
                  <c:v>250</c:v>
                </c:pt>
                <c:pt idx="21">
                  <c:v>260</c:v>
                </c:pt>
                <c:pt idx="22">
                  <c:v>270</c:v>
                </c:pt>
                <c:pt idx="23">
                  <c:v>275</c:v>
                </c:pt>
                <c:pt idx="24">
                  <c:v>280</c:v>
                </c:pt>
                <c:pt idx="25">
                  <c:v>290</c:v>
                </c:pt>
                <c:pt idx="26">
                  <c:v>295</c:v>
                </c:pt>
                <c:pt idx="27">
                  <c:v>300</c:v>
                </c:pt>
                <c:pt idx="28">
                  <c:v>380</c:v>
                </c:pt>
                <c:pt idx="29">
                  <c:v>410</c:v>
                </c:pt>
              </c:numCache>
            </c:numRef>
          </c:xVal>
          <c:yVal>
            <c:numRef>
              <c:f>'Анализ данных 3'!$C$30:$C$59</c:f>
              <c:numCache>
                <c:formatCode>General</c:formatCode>
                <c:ptCount val="30"/>
                <c:pt idx="0">
                  <c:v>-32.5290466595624</c:v>
                </c:pt>
                <c:pt idx="1">
                  <c:v>-61.7600131860238</c:v>
                </c:pt>
                <c:pt idx="2">
                  <c:v>-11.7183257308288</c:v>
                </c:pt>
                <c:pt idx="3">
                  <c:v>-4.96635644835408</c:v>
                </c:pt>
                <c:pt idx="4">
                  <c:v>-3.09254509437267</c:v>
                </c:pt>
                <c:pt idx="5">
                  <c:v>8.73790941109257</c:v>
                </c:pt>
                <c:pt idx="6">
                  <c:v>15.4411213009284</c:v>
                </c:pt>
                <c:pt idx="7">
                  <c:v>30.6027742505771</c:v>
                </c:pt>
                <c:pt idx="8">
                  <c:v>52.0871553644289</c:v>
                </c:pt>
                <c:pt idx="9">
                  <c:v>25.2291593056733</c:v>
                </c:pt>
                <c:pt idx="10">
                  <c:v>-51.5204525597592</c:v>
                </c:pt>
                <c:pt idx="11">
                  <c:v>0.827044857777651</c:v>
                </c:pt>
                <c:pt idx="12">
                  <c:v>-3.69773983115181</c:v>
                </c:pt>
                <c:pt idx="13">
                  <c:v>23.6820472434339</c:v>
                </c:pt>
                <c:pt idx="14">
                  <c:v>18.6318714733872</c:v>
                </c:pt>
                <c:pt idx="15">
                  <c:v>23.5680568242157</c:v>
                </c:pt>
                <c:pt idx="16">
                  <c:v>18.220535904322</c:v>
                </c:pt>
                <c:pt idx="17">
                  <c:v>-50.5985705608221</c:v>
                </c:pt>
                <c:pt idx="18">
                  <c:v>-15.2458197295211</c:v>
                </c:pt>
                <c:pt idx="19">
                  <c:v>11.7964251129526</c:v>
                </c:pt>
                <c:pt idx="20">
                  <c:v>4.2393165313249</c:v>
                </c:pt>
                <c:pt idx="21">
                  <c:v>43.7400366574481</c:v>
                </c:pt>
                <c:pt idx="22">
                  <c:v>4.53942742959168</c:v>
                </c:pt>
                <c:pt idx="23">
                  <c:v>-36.1738164685838</c:v>
                </c:pt>
                <c:pt idx="24">
                  <c:v>-23.5588081791749</c:v>
                </c:pt>
                <c:pt idx="25">
                  <c:v>-25.477521843046</c:v>
                </c:pt>
                <c:pt idx="26">
                  <c:v>24.4587500827488</c:v>
                </c:pt>
                <c:pt idx="27">
                  <c:v>37.8217678338622</c:v>
                </c:pt>
                <c:pt idx="28">
                  <c:v>-3.95183995660466</c:v>
                </c:pt>
                <c:pt idx="29">
                  <c:v>-19.3325433359541</c:v>
                </c:pt>
              </c:numCache>
            </c:numRef>
          </c:yVal>
          <c:smooth val="0"/>
        </c:ser>
        <c:dLbls>
          <c:showLegendKey val="0"/>
          <c:showVal val="0"/>
          <c:showCatName val="0"/>
          <c:showSerName val="0"/>
          <c:showPercent val="0"/>
          <c:showBubbleSize val="0"/>
        </c:dLbls>
        <c:axId val="1229888271"/>
        <c:axId val="1229398095"/>
      </c:scatterChart>
      <c:valAx>
        <c:axId val="1229888271"/>
        <c:scaling>
          <c:orientation val="minMax"/>
        </c:scaling>
        <c:delete val="0"/>
        <c:axPos val="b"/>
        <c:title>
          <c:tx>
            <c:rich>
              <a:bodyPr rot="0" spcFirstLastPara="0" vertOverflow="ellipsis" vert="horz" wrap="square" anchor="ctr" anchorCtr="1"/>
              <a:lstStyle/>
              <a:p>
                <a:pPr>
                  <a:defRPr lang="ru-RU" sz="1000" b="1" i="0" u="none" strike="noStrike" kern="1200" baseline="0">
                    <a:solidFill>
                      <a:schemeClr val="tx1"/>
                    </a:solidFill>
                    <a:latin typeface="+mn-lt"/>
                    <a:ea typeface="+mn-ea"/>
                    <a:cs typeface="+mn-cs"/>
                  </a:defRPr>
                </a:pPr>
                <a:r>
                  <a:rPr lang="ru-RU"/>
                  <a:t>Инвестиции в основной капитал, млн руб., </a:t>
                </a:r>
                <a:r>
                  <a:rPr lang="en-US"/>
                  <a:t>X1</a:t>
                </a:r>
                <a:endParaRPr lang="en-US"/>
              </a:p>
            </c:rich>
          </c:tx>
          <c:layout/>
          <c:overlay val="0"/>
        </c:title>
        <c:numFmt formatCode="General" sourceLinked="1"/>
        <c:majorTickMark val="out"/>
        <c:minorTickMark val="none"/>
        <c:tickLblPos val="nextTo"/>
        <c:txPr>
          <a:bodyPr rot="-60000000" spcFirstLastPara="0" vertOverflow="ellipsis" vert="horz" wrap="square" anchor="ctr" anchorCtr="1"/>
          <a:lstStyle/>
          <a:p>
            <a:pPr>
              <a:defRPr lang="ru-RU" sz="1000" b="0" i="0" u="none" strike="noStrike" kern="1200" baseline="0">
                <a:solidFill>
                  <a:schemeClr val="tx1"/>
                </a:solidFill>
                <a:latin typeface="+mn-lt"/>
                <a:ea typeface="+mn-ea"/>
                <a:cs typeface="+mn-cs"/>
              </a:defRPr>
            </a:pPr>
          </a:p>
        </c:txPr>
        <c:crossAx val="1229398095"/>
        <c:crosses val="autoZero"/>
        <c:crossBetween val="midCat"/>
      </c:valAx>
      <c:valAx>
        <c:axId val="1229398095"/>
        <c:scaling>
          <c:orientation val="minMax"/>
        </c:scaling>
        <c:delete val="0"/>
        <c:axPos val="l"/>
        <c:title>
          <c:tx>
            <c:rich>
              <a:bodyPr rot="-5400000" spcFirstLastPara="0" vertOverflow="ellipsis" vert="horz" wrap="square" anchor="ctr" anchorCtr="1"/>
              <a:lstStyle/>
              <a:p>
                <a:pPr>
                  <a:defRPr lang="ru-RU" sz="1000" b="1" i="0" u="none" strike="noStrike" kern="1200" baseline="0">
                    <a:solidFill>
                      <a:schemeClr val="tx1"/>
                    </a:solidFill>
                    <a:latin typeface="+mn-lt"/>
                    <a:ea typeface="+mn-ea"/>
                    <a:cs typeface="+mn-cs"/>
                  </a:defRPr>
                </a:pPr>
                <a:r>
                  <a:rPr lang="ru-RU"/>
                  <a:t>Остатки</a:t>
                </a:r>
                <a:endParaRPr lang="ru-RU"/>
              </a:p>
            </c:rich>
          </c:tx>
          <c:layout/>
          <c:overlay val="0"/>
        </c:title>
        <c:numFmt formatCode="General" sourceLinked="1"/>
        <c:majorTickMark val="out"/>
        <c:minorTickMark val="none"/>
        <c:tickLblPos val="nextTo"/>
        <c:txPr>
          <a:bodyPr rot="-60000000" spcFirstLastPara="0" vertOverflow="ellipsis" vert="horz" wrap="square" anchor="ctr" anchorCtr="1"/>
          <a:lstStyle/>
          <a:p>
            <a:pPr>
              <a:defRPr lang="ru-RU" sz="1000" b="0" i="0" u="none" strike="noStrike" kern="1200" baseline="0">
                <a:solidFill>
                  <a:schemeClr val="tx1"/>
                </a:solidFill>
                <a:latin typeface="+mn-lt"/>
                <a:ea typeface="+mn-ea"/>
                <a:cs typeface="+mn-cs"/>
              </a:defRPr>
            </a:pPr>
          </a:p>
        </c:txPr>
        <c:crossAx val="1229888271"/>
        <c:crosses val="autoZero"/>
        <c:crossBetween val="midCat"/>
      </c:valAx>
    </c:plotArea>
    <c:plotVisOnly val="1"/>
    <c:dispBlanksAs val="gap"/>
    <c:showDLblsOverMax val="0"/>
    <c:extLst>
      <c:ext uri="{0b15fc19-7d7d-44ad-8c2d-2c3a37ce22c3}">
        <chartProps xmlns="https://web.wps.cn/et/2018/main" chartId="{4ce3476c-03f5-4c91-a697-84e315e1069a}"/>
      </c:ext>
    </c:extLst>
  </c:chart>
  <c:txPr>
    <a:bodyPr/>
    <a:lstStyle/>
    <a:p>
      <a:pPr>
        <a:defRPr lang="ru-RU"/>
      </a:pPr>
    </a:p>
  </c:txPr>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0" vertOverflow="ellipsis" vert="horz" wrap="square" anchor="ctr" anchorCtr="1"/>
          <a:lstStyle/>
          <a:p>
            <a:pPr>
              <a:defRPr lang="ru-RU" sz="1800" b="1" i="0" u="none" strike="noStrike" kern="1200" baseline="0">
                <a:solidFill>
                  <a:schemeClr val="tx1"/>
                </a:solidFill>
                <a:latin typeface="+mn-lt"/>
                <a:ea typeface="+mn-ea"/>
                <a:cs typeface="+mn-cs"/>
              </a:defRPr>
            </a:pPr>
            <a:r>
              <a:rPr lang="ru-RU"/>
              <a:t>Среднесписочная численность работников, чел., </a:t>
            </a:r>
            <a:r>
              <a:rPr lang="en-US"/>
              <a:t>X2 </a:t>
            </a:r>
            <a:r>
              <a:rPr lang="ru-RU"/>
              <a:t>График остатков</a:t>
            </a:r>
            <a:endParaRPr lang="ru-RU"/>
          </a:p>
        </c:rich>
      </c:tx>
      <c:layout/>
      <c:overlay val="0"/>
    </c:title>
    <c:autoTitleDeleted val="0"/>
    <c:plotArea>
      <c:layout/>
      <c:scatterChart>
        <c:scatterStyle val="marker"/>
        <c:varyColors val="0"/>
        <c:ser>
          <c:idx val="0"/>
          <c:order val="0"/>
          <c:spPr>
            <a:ln w="19050" cap="rnd" cmpd="sng" algn="ctr">
              <a:noFill/>
              <a:prstDash val="solid"/>
              <a:round/>
            </a:ln>
          </c:spPr>
          <c:dLbls>
            <c:delete val="1"/>
          </c:dLbls>
          <c:xVal>
            <c:numRef>
              <c:f>'Исходные данные 3'!$D$2:$D$31</c:f>
              <c:numCache>
                <c:formatCode>General</c:formatCode>
                <c:ptCount val="30"/>
                <c:pt idx="0">
                  <c:v>500</c:v>
                </c:pt>
                <c:pt idx="1">
                  <c:v>510</c:v>
                </c:pt>
                <c:pt idx="2">
                  <c:v>509</c:v>
                </c:pt>
                <c:pt idx="3">
                  <c:v>515</c:v>
                </c:pt>
                <c:pt idx="4">
                  <c:v>520</c:v>
                </c:pt>
                <c:pt idx="5">
                  <c:v>519</c:v>
                </c:pt>
                <c:pt idx="6">
                  <c:v>525</c:v>
                </c:pt>
                <c:pt idx="7">
                  <c:v>526</c:v>
                </c:pt>
                <c:pt idx="8">
                  <c:v>530</c:v>
                </c:pt>
                <c:pt idx="9">
                  <c:v>550</c:v>
                </c:pt>
                <c:pt idx="10">
                  <c:v>570</c:v>
                </c:pt>
                <c:pt idx="11">
                  <c:v>560</c:v>
                </c:pt>
                <c:pt idx="12">
                  <c:v>555</c:v>
                </c:pt>
                <c:pt idx="13">
                  <c:v>555</c:v>
                </c:pt>
                <c:pt idx="14">
                  <c:v>560</c:v>
                </c:pt>
                <c:pt idx="15">
                  <c:v>560</c:v>
                </c:pt>
                <c:pt idx="16">
                  <c:v>562</c:v>
                </c:pt>
                <c:pt idx="17">
                  <c:v>580</c:v>
                </c:pt>
                <c:pt idx="18">
                  <c:v>581</c:v>
                </c:pt>
                <c:pt idx="19">
                  <c:v>582</c:v>
                </c:pt>
                <c:pt idx="20">
                  <c:v>585</c:v>
                </c:pt>
                <c:pt idx="21">
                  <c:v>590</c:v>
                </c:pt>
                <c:pt idx="22">
                  <c:v>601</c:v>
                </c:pt>
                <c:pt idx="23">
                  <c:v>612</c:v>
                </c:pt>
                <c:pt idx="24">
                  <c:v>610</c:v>
                </c:pt>
                <c:pt idx="25">
                  <c:v>611</c:v>
                </c:pt>
                <c:pt idx="26">
                  <c:v>615</c:v>
                </c:pt>
                <c:pt idx="27">
                  <c:v>620</c:v>
                </c:pt>
                <c:pt idx="28">
                  <c:v>621</c:v>
                </c:pt>
                <c:pt idx="29">
                  <c:v>622</c:v>
                </c:pt>
              </c:numCache>
            </c:numRef>
          </c:xVal>
          <c:yVal>
            <c:numRef>
              <c:f>'Анализ данных 3'!$C$30:$C$59</c:f>
              <c:numCache>
                <c:formatCode>General</c:formatCode>
                <c:ptCount val="30"/>
                <c:pt idx="0">
                  <c:v>-32.5290466595624</c:v>
                </c:pt>
                <c:pt idx="1">
                  <c:v>-61.7600131860238</c:v>
                </c:pt>
                <c:pt idx="2">
                  <c:v>-11.7183257308288</c:v>
                </c:pt>
                <c:pt idx="3">
                  <c:v>-4.96635644835408</c:v>
                </c:pt>
                <c:pt idx="4">
                  <c:v>-3.09254509437267</c:v>
                </c:pt>
                <c:pt idx="5">
                  <c:v>8.73790941109257</c:v>
                </c:pt>
                <c:pt idx="6">
                  <c:v>15.4411213009284</c:v>
                </c:pt>
                <c:pt idx="7">
                  <c:v>30.6027742505771</c:v>
                </c:pt>
                <c:pt idx="8">
                  <c:v>52.0871553644289</c:v>
                </c:pt>
                <c:pt idx="9">
                  <c:v>25.2291593056733</c:v>
                </c:pt>
                <c:pt idx="10">
                  <c:v>-51.5204525597592</c:v>
                </c:pt>
                <c:pt idx="11">
                  <c:v>0.827044857777651</c:v>
                </c:pt>
                <c:pt idx="12">
                  <c:v>-3.69773983115181</c:v>
                </c:pt>
                <c:pt idx="13">
                  <c:v>23.6820472434339</c:v>
                </c:pt>
                <c:pt idx="14">
                  <c:v>18.6318714733872</c:v>
                </c:pt>
                <c:pt idx="15">
                  <c:v>23.5680568242157</c:v>
                </c:pt>
                <c:pt idx="16">
                  <c:v>18.220535904322</c:v>
                </c:pt>
                <c:pt idx="17">
                  <c:v>-50.5985705608221</c:v>
                </c:pt>
                <c:pt idx="18">
                  <c:v>-15.2458197295211</c:v>
                </c:pt>
                <c:pt idx="19">
                  <c:v>11.7964251129526</c:v>
                </c:pt>
                <c:pt idx="20">
                  <c:v>4.2393165313249</c:v>
                </c:pt>
                <c:pt idx="21">
                  <c:v>43.7400366574481</c:v>
                </c:pt>
                <c:pt idx="22">
                  <c:v>4.53942742959168</c:v>
                </c:pt>
                <c:pt idx="23">
                  <c:v>-36.1738164685838</c:v>
                </c:pt>
                <c:pt idx="24">
                  <c:v>-23.5588081791749</c:v>
                </c:pt>
                <c:pt idx="25">
                  <c:v>-25.477521843046</c:v>
                </c:pt>
                <c:pt idx="26">
                  <c:v>24.4587500827488</c:v>
                </c:pt>
                <c:pt idx="27">
                  <c:v>37.8217678338622</c:v>
                </c:pt>
                <c:pt idx="28">
                  <c:v>-3.95183995660466</c:v>
                </c:pt>
                <c:pt idx="29">
                  <c:v>-19.3325433359541</c:v>
                </c:pt>
              </c:numCache>
            </c:numRef>
          </c:yVal>
          <c:smooth val="0"/>
        </c:ser>
        <c:dLbls>
          <c:showLegendKey val="0"/>
          <c:showVal val="0"/>
          <c:showCatName val="0"/>
          <c:showSerName val="0"/>
          <c:showPercent val="0"/>
          <c:showBubbleSize val="0"/>
        </c:dLbls>
        <c:axId val="1229882271"/>
        <c:axId val="1229378543"/>
      </c:scatterChart>
      <c:valAx>
        <c:axId val="1229882271"/>
        <c:scaling>
          <c:orientation val="minMax"/>
        </c:scaling>
        <c:delete val="0"/>
        <c:axPos val="b"/>
        <c:title>
          <c:tx>
            <c:rich>
              <a:bodyPr rot="0" spcFirstLastPara="0" vertOverflow="ellipsis" vert="horz" wrap="square" anchor="ctr" anchorCtr="1"/>
              <a:lstStyle/>
              <a:p>
                <a:pPr>
                  <a:defRPr lang="ru-RU" sz="1000" b="1" i="0" u="none" strike="noStrike" kern="1200" baseline="0">
                    <a:solidFill>
                      <a:schemeClr val="tx1"/>
                    </a:solidFill>
                    <a:latin typeface="+mn-lt"/>
                    <a:ea typeface="+mn-ea"/>
                    <a:cs typeface="+mn-cs"/>
                  </a:defRPr>
                </a:pPr>
                <a:r>
                  <a:rPr lang="ru-RU"/>
                  <a:t>Среднесписочная численность работников, чел., </a:t>
                </a:r>
                <a:r>
                  <a:rPr lang="en-US"/>
                  <a:t>X2</a:t>
                </a:r>
                <a:endParaRPr lang="en-US"/>
              </a:p>
            </c:rich>
          </c:tx>
          <c:layout/>
          <c:overlay val="0"/>
        </c:title>
        <c:numFmt formatCode="General" sourceLinked="1"/>
        <c:majorTickMark val="out"/>
        <c:minorTickMark val="none"/>
        <c:tickLblPos val="nextTo"/>
        <c:txPr>
          <a:bodyPr rot="-60000000" spcFirstLastPara="0" vertOverflow="ellipsis" vert="horz" wrap="square" anchor="ctr" anchorCtr="1"/>
          <a:lstStyle/>
          <a:p>
            <a:pPr>
              <a:defRPr lang="ru-RU" sz="1000" b="0" i="0" u="none" strike="noStrike" kern="1200" baseline="0">
                <a:solidFill>
                  <a:schemeClr val="tx1"/>
                </a:solidFill>
                <a:latin typeface="+mn-lt"/>
                <a:ea typeface="+mn-ea"/>
                <a:cs typeface="+mn-cs"/>
              </a:defRPr>
            </a:pPr>
          </a:p>
        </c:txPr>
        <c:crossAx val="1229378543"/>
        <c:crosses val="autoZero"/>
        <c:crossBetween val="midCat"/>
      </c:valAx>
      <c:valAx>
        <c:axId val="1229378543"/>
        <c:scaling>
          <c:orientation val="minMax"/>
        </c:scaling>
        <c:delete val="0"/>
        <c:axPos val="l"/>
        <c:title>
          <c:tx>
            <c:rich>
              <a:bodyPr rot="-5400000" spcFirstLastPara="0" vertOverflow="ellipsis" vert="horz" wrap="square" anchor="ctr" anchorCtr="1"/>
              <a:lstStyle/>
              <a:p>
                <a:pPr>
                  <a:defRPr lang="ru-RU" sz="1000" b="1" i="0" u="none" strike="noStrike" kern="1200" baseline="0">
                    <a:solidFill>
                      <a:schemeClr val="tx1"/>
                    </a:solidFill>
                    <a:latin typeface="+mn-lt"/>
                    <a:ea typeface="+mn-ea"/>
                    <a:cs typeface="+mn-cs"/>
                  </a:defRPr>
                </a:pPr>
                <a:r>
                  <a:rPr lang="ru-RU"/>
                  <a:t>Остатки</a:t>
                </a:r>
                <a:endParaRPr lang="ru-RU"/>
              </a:p>
            </c:rich>
          </c:tx>
          <c:layout/>
          <c:overlay val="0"/>
        </c:title>
        <c:numFmt formatCode="General" sourceLinked="1"/>
        <c:majorTickMark val="out"/>
        <c:minorTickMark val="none"/>
        <c:tickLblPos val="nextTo"/>
        <c:txPr>
          <a:bodyPr rot="-60000000" spcFirstLastPara="0" vertOverflow="ellipsis" vert="horz" wrap="square" anchor="ctr" anchorCtr="1"/>
          <a:lstStyle/>
          <a:p>
            <a:pPr>
              <a:defRPr lang="ru-RU" sz="1000" b="0" i="0" u="none" strike="noStrike" kern="1200" baseline="0">
                <a:solidFill>
                  <a:schemeClr val="tx1"/>
                </a:solidFill>
                <a:latin typeface="+mn-lt"/>
                <a:ea typeface="+mn-ea"/>
                <a:cs typeface="+mn-cs"/>
              </a:defRPr>
            </a:pPr>
          </a:p>
        </c:txPr>
        <c:crossAx val="1229882271"/>
        <c:crosses val="autoZero"/>
        <c:crossBetween val="midCat"/>
      </c:valAx>
    </c:plotArea>
    <c:plotVisOnly val="1"/>
    <c:dispBlanksAs val="gap"/>
    <c:showDLblsOverMax val="0"/>
    <c:extLst>
      <c:ext uri="{0b15fc19-7d7d-44ad-8c2d-2c3a37ce22c3}">
        <chartProps xmlns="https://web.wps.cn/et/2018/main" chartId="{0eb63200-fc44-47af-83d8-0b94fdbe39de}"/>
      </c:ext>
    </c:extLst>
  </c:chart>
  <c:txPr>
    <a:bodyPr/>
    <a:lstStyle/>
    <a:p>
      <a:pPr>
        <a:defRPr lang="ru-RU"/>
      </a:pPr>
    </a:p>
  </c:txPr>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0" vertOverflow="ellipsis" vert="horz" wrap="square" anchor="ctr" anchorCtr="1"/>
          <a:lstStyle/>
          <a:p>
            <a:pPr>
              <a:defRPr lang="ru-RU" sz="1800" b="1" i="0" u="none" strike="noStrike" kern="1200" baseline="0">
                <a:solidFill>
                  <a:schemeClr val="tx1"/>
                </a:solidFill>
                <a:latin typeface="+mn-lt"/>
                <a:ea typeface="+mn-ea"/>
                <a:cs typeface="+mn-cs"/>
              </a:defRPr>
            </a:pPr>
            <a:r>
              <a:rPr lang="ru-RU"/>
              <a:t>Стоимость основных производственных фондов, млн руб., </a:t>
            </a:r>
            <a:r>
              <a:rPr lang="en-US"/>
              <a:t>X3 </a:t>
            </a:r>
            <a:r>
              <a:rPr lang="ru-RU"/>
              <a:t>График остатков</a:t>
            </a:r>
            <a:endParaRPr lang="ru-RU"/>
          </a:p>
        </c:rich>
      </c:tx>
      <c:layout/>
      <c:overlay val="0"/>
    </c:title>
    <c:autoTitleDeleted val="0"/>
    <c:plotArea>
      <c:layout/>
      <c:scatterChart>
        <c:scatterStyle val="marker"/>
        <c:varyColors val="0"/>
        <c:ser>
          <c:idx val="0"/>
          <c:order val="0"/>
          <c:spPr>
            <a:ln w="19050" cap="rnd" cmpd="sng" algn="ctr">
              <a:noFill/>
              <a:prstDash val="solid"/>
              <a:round/>
            </a:ln>
          </c:spPr>
          <c:dLbls>
            <c:delete val="1"/>
          </c:dLbls>
          <c:xVal>
            <c:numRef>
              <c:f>'Исходные данные 3'!$E$2:$E$31</c:f>
              <c:numCache>
                <c:formatCode>General</c:formatCode>
                <c:ptCount val="30"/>
                <c:pt idx="0">
                  <c:v>1340</c:v>
                </c:pt>
                <c:pt idx="1">
                  <c:v>1560</c:v>
                </c:pt>
                <c:pt idx="2">
                  <c:v>1590</c:v>
                </c:pt>
                <c:pt idx="3">
                  <c:v>1680</c:v>
                </c:pt>
                <c:pt idx="4">
                  <c:v>1450</c:v>
                </c:pt>
                <c:pt idx="5">
                  <c:v>1600</c:v>
                </c:pt>
                <c:pt idx="6">
                  <c:v>1200</c:v>
                </c:pt>
                <c:pt idx="7">
                  <c:v>1280</c:v>
                </c:pt>
                <c:pt idx="8">
                  <c:v>1560</c:v>
                </c:pt>
                <c:pt idx="9">
                  <c:v>1680</c:v>
                </c:pt>
                <c:pt idx="10">
                  <c:v>1780</c:v>
                </c:pt>
                <c:pt idx="11">
                  <c:v>1890</c:v>
                </c:pt>
                <c:pt idx="12">
                  <c:v>1580</c:v>
                </c:pt>
                <c:pt idx="13">
                  <c:v>1760</c:v>
                </c:pt>
                <c:pt idx="14">
                  <c:v>1340</c:v>
                </c:pt>
                <c:pt idx="15">
                  <c:v>1670</c:v>
                </c:pt>
                <c:pt idx="16">
                  <c:v>1350</c:v>
                </c:pt>
                <c:pt idx="17">
                  <c:v>1240</c:v>
                </c:pt>
                <c:pt idx="18">
                  <c:v>1450</c:v>
                </c:pt>
                <c:pt idx="19">
                  <c:v>1670</c:v>
                </c:pt>
                <c:pt idx="20">
                  <c:v>1280</c:v>
                </c:pt>
                <c:pt idx="21">
                  <c:v>1340</c:v>
                </c:pt>
                <c:pt idx="22">
                  <c:v>1450</c:v>
                </c:pt>
                <c:pt idx="23">
                  <c:v>1450</c:v>
                </c:pt>
                <c:pt idx="24">
                  <c:v>1670</c:v>
                </c:pt>
                <c:pt idx="25">
                  <c:v>1330</c:v>
                </c:pt>
                <c:pt idx="26">
                  <c:v>1560</c:v>
                </c:pt>
                <c:pt idx="27">
                  <c:v>1760</c:v>
                </c:pt>
                <c:pt idx="28">
                  <c:v>1650</c:v>
                </c:pt>
                <c:pt idx="29">
                  <c:v>1890</c:v>
                </c:pt>
              </c:numCache>
            </c:numRef>
          </c:xVal>
          <c:yVal>
            <c:numRef>
              <c:f>'Анализ данных 3'!$C$30:$C$59</c:f>
              <c:numCache>
                <c:formatCode>General</c:formatCode>
                <c:ptCount val="30"/>
                <c:pt idx="0">
                  <c:v>-32.5290466595624</c:v>
                </c:pt>
                <c:pt idx="1">
                  <c:v>-61.7600131860238</c:v>
                </c:pt>
                <c:pt idx="2">
                  <c:v>-11.7183257308288</c:v>
                </c:pt>
                <c:pt idx="3">
                  <c:v>-4.96635644835408</c:v>
                </c:pt>
                <c:pt idx="4">
                  <c:v>-3.09254509437267</c:v>
                </c:pt>
                <c:pt idx="5">
                  <c:v>8.73790941109257</c:v>
                </c:pt>
                <c:pt idx="6">
                  <c:v>15.4411213009284</c:v>
                </c:pt>
                <c:pt idx="7">
                  <c:v>30.6027742505771</c:v>
                </c:pt>
                <c:pt idx="8">
                  <c:v>52.0871553644289</c:v>
                </c:pt>
                <c:pt idx="9">
                  <c:v>25.2291593056733</c:v>
                </c:pt>
                <c:pt idx="10">
                  <c:v>-51.5204525597592</c:v>
                </c:pt>
                <c:pt idx="11">
                  <c:v>0.827044857777651</c:v>
                </c:pt>
                <c:pt idx="12">
                  <c:v>-3.69773983115181</c:v>
                </c:pt>
                <c:pt idx="13">
                  <c:v>23.6820472434339</c:v>
                </c:pt>
                <c:pt idx="14">
                  <c:v>18.6318714733872</c:v>
                </c:pt>
                <c:pt idx="15">
                  <c:v>23.5680568242157</c:v>
                </c:pt>
                <c:pt idx="16">
                  <c:v>18.220535904322</c:v>
                </c:pt>
                <c:pt idx="17">
                  <c:v>-50.5985705608221</c:v>
                </c:pt>
                <c:pt idx="18">
                  <c:v>-15.2458197295211</c:v>
                </c:pt>
                <c:pt idx="19">
                  <c:v>11.7964251129526</c:v>
                </c:pt>
                <c:pt idx="20">
                  <c:v>4.2393165313249</c:v>
                </c:pt>
                <c:pt idx="21">
                  <c:v>43.7400366574481</c:v>
                </c:pt>
                <c:pt idx="22">
                  <c:v>4.53942742959168</c:v>
                </c:pt>
                <c:pt idx="23">
                  <c:v>-36.1738164685838</c:v>
                </c:pt>
                <c:pt idx="24">
                  <c:v>-23.5588081791749</c:v>
                </c:pt>
                <c:pt idx="25">
                  <c:v>-25.477521843046</c:v>
                </c:pt>
                <c:pt idx="26">
                  <c:v>24.4587500827488</c:v>
                </c:pt>
                <c:pt idx="27">
                  <c:v>37.8217678338622</c:v>
                </c:pt>
                <c:pt idx="28">
                  <c:v>-3.95183995660466</c:v>
                </c:pt>
                <c:pt idx="29">
                  <c:v>-19.3325433359541</c:v>
                </c:pt>
              </c:numCache>
            </c:numRef>
          </c:yVal>
          <c:smooth val="0"/>
        </c:ser>
        <c:dLbls>
          <c:showLegendKey val="0"/>
          <c:showVal val="0"/>
          <c:showCatName val="0"/>
          <c:showSerName val="0"/>
          <c:showPercent val="0"/>
          <c:showBubbleSize val="0"/>
        </c:dLbls>
        <c:axId val="1229893071"/>
        <c:axId val="1229383535"/>
      </c:scatterChart>
      <c:valAx>
        <c:axId val="1229893071"/>
        <c:scaling>
          <c:orientation val="minMax"/>
        </c:scaling>
        <c:delete val="0"/>
        <c:axPos val="b"/>
        <c:title>
          <c:tx>
            <c:rich>
              <a:bodyPr rot="0" spcFirstLastPara="0" vertOverflow="ellipsis" vert="horz" wrap="square" anchor="ctr" anchorCtr="1"/>
              <a:lstStyle/>
              <a:p>
                <a:pPr>
                  <a:defRPr lang="ru-RU" sz="1000" b="1" i="0" u="none" strike="noStrike" kern="1200" baseline="0">
                    <a:solidFill>
                      <a:schemeClr val="tx1"/>
                    </a:solidFill>
                    <a:latin typeface="+mn-lt"/>
                    <a:ea typeface="+mn-ea"/>
                    <a:cs typeface="+mn-cs"/>
                  </a:defRPr>
                </a:pPr>
                <a:r>
                  <a:rPr lang="ru-RU"/>
                  <a:t>Стоимость основных производственных фондов, млн руб., </a:t>
                </a:r>
                <a:r>
                  <a:rPr lang="en-US"/>
                  <a:t>X3</a:t>
                </a:r>
                <a:endParaRPr lang="en-US"/>
              </a:p>
            </c:rich>
          </c:tx>
          <c:layout/>
          <c:overlay val="0"/>
        </c:title>
        <c:numFmt formatCode="General" sourceLinked="1"/>
        <c:majorTickMark val="out"/>
        <c:minorTickMark val="none"/>
        <c:tickLblPos val="nextTo"/>
        <c:txPr>
          <a:bodyPr rot="-60000000" spcFirstLastPara="0" vertOverflow="ellipsis" vert="horz" wrap="square" anchor="ctr" anchorCtr="1"/>
          <a:lstStyle/>
          <a:p>
            <a:pPr>
              <a:defRPr lang="ru-RU" sz="1000" b="0" i="0" u="none" strike="noStrike" kern="1200" baseline="0">
                <a:solidFill>
                  <a:schemeClr val="tx1"/>
                </a:solidFill>
                <a:latin typeface="+mn-lt"/>
                <a:ea typeface="+mn-ea"/>
                <a:cs typeface="+mn-cs"/>
              </a:defRPr>
            </a:pPr>
          </a:p>
        </c:txPr>
        <c:crossAx val="1229383535"/>
        <c:crosses val="autoZero"/>
        <c:crossBetween val="midCat"/>
      </c:valAx>
      <c:valAx>
        <c:axId val="1229383535"/>
        <c:scaling>
          <c:orientation val="minMax"/>
        </c:scaling>
        <c:delete val="0"/>
        <c:axPos val="l"/>
        <c:title>
          <c:tx>
            <c:rich>
              <a:bodyPr rot="-5400000" spcFirstLastPara="0" vertOverflow="ellipsis" vert="horz" wrap="square" anchor="ctr" anchorCtr="1"/>
              <a:lstStyle/>
              <a:p>
                <a:pPr>
                  <a:defRPr lang="ru-RU" sz="1000" b="1" i="0" u="none" strike="noStrike" kern="1200" baseline="0">
                    <a:solidFill>
                      <a:schemeClr val="tx1"/>
                    </a:solidFill>
                    <a:latin typeface="+mn-lt"/>
                    <a:ea typeface="+mn-ea"/>
                    <a:cs typeface="+mn-cs"/>
                  </a:defRPr>
                </a:pPr>
                <a:r>
                  <a:rPr lang="ru-RU"/>
                  <a:t>Остатки</a:t>
                </a:r>
                <a:endParaRPr lang="ru-RU"/>
              </a:p>
            </c:rich>
          </c:tx>
          <c:layout/>
          <c:overlay val="0"/>
        </c:title>
        <c:numFmt formatCode="General" sourceLinked="1"/>
        <c:majorTickMark val="out"/>
        <c:minorTickMark val="none"/>
        <c:tickLblPos val="nextTo"/>
        <c:txPr>
          <a:bodyPr rot="-60000000" spcFirstLastPara="0" vertOverflow="ellipsis" vert="horz" wrap="square" anchor="ctr" anchorCtr="1"/>
          <a:lstStyle/>
          <a:p>
            <a:pPr>
              <a:defRPr lang="ru-RU" sz="1000" b="0" i="0" u="none" strike="noStrike" kern="1200" baseline="0">
                <a:solidFill>
                  <a:schemeClr val="tx1"/>
                </a:solidFill>
                <a:latin typeface="+mn-lt"/>
                <a:ea typeface="+mn-ea"/>
                <a:cs typeface="+mn-cs"/>
              </a:defRPr>
            </a:pPr>
          </a:p>
        </c:txPr>
        <c:crossAx val="1229893071"/>
        <c:crosses val="autoZero"/>
        <c:crossBetween val="midCat"/>
      </c:valAx>
    </c:plotArea>
    <c:plotVisOnly val="1"/>
    <c:dispBlanksAs val="gap"/>
    <c:showDLblsOverMax val="0"/>
    <c:extLst>
      <c:ext uri="{0b15fc19-7d7d-44ad-8c2d-2c3a37ce22c3}">
        <chartProps xmlns="https://web.wps.cn/et/2018/main" chartId="{8f917a34-9ea4-4918-a99c-0d3eda0c601b}"/>
      </c:ext>
    </c:extLst>
  </c:chart>
  <c:txPr>
    <a:bodyPr/>
    <a:lstStyle/>
    <a:p>
      <a:pPr>
        <a:defRPr lang="ru-RU"/>
      </a:pPr>
    </a:p>
  </c:txPr>
  <c:printSettings>
    <c:headerFooter/>
    <c:pageMargins b="0.75" l="0.7" r="0.7" t="0.75" header="0.3" footer="0.3"/>
    <c:pageSetup/>
  </c:printSettings>
</c:chartSpace>
</file>

<file path=xl/charts/chart19.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0" vertOverflow="ellipsis" vert="horz" wrap="square" anchor="ctr" anchorCtr="1"/>
          <a:lstStyle/>
          <a:p>
            <a:pPr>
              <a:defRPr lang="ru-RU" sz="1800" b="1" i="0" u="none" strike="noStrike" kern="1200" baseline="0">
                <a:solidFill>
                  <a:schemeClr val="tx1"/>
                </a:solidFill>
                <a:latin typeface="+mn-lt"/>
                <a:ea typeface="+mn-ea"/>
                <a:cs typeface="+mn-cs"/>
              </a:defRPr>
            </a:pPr>
            <a:r>
              <a:rPr lang="ru-RU"/>
              <a:t>Коммерческие расходы, млн руб., </a:t>
            </a:r>
            <a:r>
              <a:rPr lang="en-US"/>
              <a:t>X6 </a:t>
            </a:r>
            <a:r>
              <a:rPr lang="ru-RU"/>
              <a:t>График остатков</a:t>
            </a:r>
            <a:endParaRPr lang="ru-RU"/>
          </a:p>
        </c:rich>
      </c:tx>
      <c:layout/>
      <c:overlay val="0"/>
    </c:title>
    <c:autoTitleDeleted val="0"/>
    <c:plotArea>
      <c:layout/>
      <c:scatterChart>
        <c:scatterStyle val="marker"/>
        <c:varyColors val="0"/>
        <c:ser>
          <c:idx val="0"/>
          <c:order val="0"/>
          <c:spPr>
            <a:ln w="19050" cap="rnd" cmpd="sng" algn="ctr">
              <a:noFill/>
              <a:prstDash val="solid"/>
              <a:round/>
            </a:ln>
          </c:spPr>
          <c:dLbls>
            <c:delete val="1"/>
          </c:dLbls>
          <c:xVal>
            <c:numRef>
              <c:f>'Исходные данные 3'!$F$2:$F$31</c:f>
              <c:numCache>
                <c:formatCode>General</c:formatCode>
                <c:ptCount val="30"/>
                <c:pt idx="0">
                  <c:v>28</c:v>
                </c:pt>
                <c:pt idx="1">
                  <c:v>30</c:v>
                </c:pt>
                <c:pt idx="2">
                  <c:v>25</c:v>
                </c:pt>
                <c:pt idx="3">
                  <c:v>23</c:v>
                </c:pt>
                <c:pt idx="4">
                  <c:v>20</c:v>
                </c:pt>
                <c:pt idx="5">
                  <c:v>22</c:v>
                </c:pt>
                <c:pt idx="6">
                  <c:v>25</c:v>
                </c:pt>
                <c:pt idx="7">
                  <c:v>30</c:v>
                </c:pt>
                <c:pt idx="8">
                  <c:v>40</c:v>
                </c:pt>
                <c:pt idx="9">
                  <c:v>44</c:v>
                </c:pt>
                <c:pt idx="10">
                  <c:v>45</c:v>
                </c:pt>
                <c:pt idx="11">
                  <c:v>47</c:v>
                </c:pt>
                <c:pt idx="12">
                  <c:v>48</c:v>
                </c:pt>
                <c:pt idx="13">
                  <c:v>47</c:v>
                </c:pt>
                <c:pt idx="14">
                  <c:v>46</c:v>
                </c:pt>
                <c:pt idx="15">
                  <c:v>48</c:v>
                </c:pt>
                <c:pt idx="16">
                  <c:v>47</c:v>
                </c:pt>
                <c:pt idx="17">
                  <c:v>48</c:v>
                </c:pt>
                <c:pt idx="18">
                  <c:v>46</c:v>
                </c:pt>
                <c:pt idx="19">
                  <c:v>44</c:v>
                </c:pt>
                <c:pt idx="20">
                  <c:v>48</c:v>
                </c:pt>
                <c:pt idx="21">
                  <c:v>47</c:v>
                </c:pt>
                <c:pt idx="22">
                  <c:v>49</c:v>
                </c:pt>
                <c:pt idx="23">
                  <c:v>52</c:v>
                </c:pt>
                <c:pt idx="24">
                  <c:v>83</c:v>
                </c:pt>
                <c:pt idx="25">
                  <c:v>86</c:v>
                </c:pt>
                <c:pt idx="26">
                  <c:v>81</c:v>
                </c:pt>
                <c:pt idx="27">
                  <c:v>96</c:v>
                </c:pt>
                <c:pt idx="28">
                  <c:v>97</c:v>
                </c:pt>
                <c:pt idx="29">
                  <c:v>105</c:v>
                </c:pt>
              </c:numCache>
            </c:numRef>
          </c:xVal>
          <c:yVal>
            <c:numRef>
              <c:f>'Анализ данных 3'!$C$30:$C$59</c:f>
              <c:numCache>
                <c:formatCode>General</c:formatCode>
                <c:ptCount val="30"/>
                <c:pt idx="0">
                  <c:v>-32.5290466595624</c:v>
                </c:pt>
                <c:pt idx="1">
                  <c:v>-61.7600131860238</c:v>
                </c:pt>
                <c:pt idx="2">
                  <c:v>-11.7183257308288</c:v>
                </c:pt>
                <c:pt idx="3">
                  <c:v>-4.96635644835408</c:v>
                </c:pt>
                <c:pt idx="4">
                  <c:v>-3.09254509437267</c:v>
                </c:pt>
                <c:pt idx="5">
                  <c:v>8.73790941109257</c:v>
                </c:pt>
                <c:pt idx="6">
                  <c:v>15.4411213009284</c:v>
                </c:pt>
                <c:pt idx="7">
                  <c:v>30.6027742505771</c:v>
                </c:pt>
                <c:pt idx="8">
                  <c:v>52.0871553644289</c:v>
                </c:pt>
                <c:pt idx="9">
                  <c:v>25.2291593056733</c:v>
                </c:pt>
                <c:pt idx="10">
                  <c:v>-51.5204525597592</c:v>
                </c:pt>
                <c:pt idx="11">
                  <c:v>0.827044857777651</c:v>
                </c:pt>
                <c:pt idx="12">
                  <c:v>-3.69773983115181</c:v>
                </c:pt>
                <c:pt idx="13">
                  <c:v>23.6820472434339</c:v>
                </c:pt>
                <c:pt idx="14">
                  <c:v>18.6318714733872</c:v>
                </c:pt>
                <c:pt idx="15">
                  <c:v>23.5680568242157</c:v>
                </c:pt>
                <c:pt idx="16">
                  <c:v>18.220535904322</c:v>
                </c:pt>
                <c:pt idx="17">
                  <c:v>-50.5985705608221</c:v>
                </c:pt>
                <c:pt idx="18">
                  <c:v>-15.2458197295211</c:v>
                </c:pt>
                <c:pt idx="19">
                  <c:v>11.7964251129526</c:v>
                </c:pt>
                <c:pt idx="20">
                  <c:v>4.2393165313249</c:v>
                </c:pt>
                <c:pt idx="21">
                  <c:v>43.7400366574481</c:v>
                </c:pt>
                <c:pt idx="22">
                  <c:v>4.53942742959168</c:v>
                </c:pt>
                <c:pt idx="23">
                  <c:v>-36.1738164685838</c:v>
                </c:pt>
                <c:pt idx="24">
                  <c:v>-23.5588081791749</c:v>
                </c:pt>
                <c:pt idx="25">
                  <c:v>-25.477521843046</c:v>
                </c:pt>
                <c:pt idx="26">
                  <c:v>24.4587500827488</c:v>
                </c:pt>
                <c:pt idx="27">
                  <c:v>37.8217678338622</c:v>
                </c:pt>
                <c:pt idx="28">
                  <c:v>-3.95183995660466</c:v>
                </c:pt>
                <c:pt idx="29">
                  <c:v>-19.3325433359541</c:v>
                </c:pt>
              </c:numCache>
            </c:numRef>
          </c:yVal>
          <c:smooth val="0"/>
        </c:ser>
        <c:dLbls>
          <c:showLegendKey val="0"/>
          <c:showVal val="0"/>
          <c:showCatName val="0"/>
          <c:showSerName val="0"/>
          <c:showPercent val="0"/>
          <c:showBubbleSize val="0"/>
        </c:dLbls>
        <c:axId val="1229893071"/>
        <c:axId val="1229376463"/>
      </c:scatterChart>
      <c:valAx>
        <c:axId val="1229893071"/>
        <c:scaling>
          <c:orientation val="minMax"/>
        </c:scaling>
        <c:delete val="0"/>
        <c:axPos val="b"/>
        <c:title>
          <c:tx>
            <c:rich>
              <a:bodyPr rot="0" spcFirstLastPara="0" vertOverflow="ellipsis" vert="horz" wrap="square" anchor="ctr" anchorCtr="1"/>
              <a:lstStyle/>
              <a:p>
                <a:pPr>
                  <a:defRPr lang="ru-RU" sz="1000" b="1" i="0" u="none" strike="noStrike" kern="1200" baseline="0">
                    <a:solidFill>
                      <a:schemeClr val="tx1"/>
                    </a:solidFill>
                    <a:latin typeface="+mn-lt"/>
                    <a:ea typeface="+mn-ea"/>
                    <a:cs typeface="+mn-cs"/>
                  </a:defRPr>
                </a:pPr>
                <a:r>
                  <a:rPr lang="ru-RU"/>
                  <a:t>Коммерческие расходы, млн руб., </a:t>
                </a:r>
                <a:r>
                  <a:rPr lang="en-US"/>
                  <a:t>X6</a:t>
                </a:r>
                <a:endParaRPr lang="en-US"/>
              </a:p>
            </c:rich>
          </c:tx>
          <c:layout/>
          <c:overlay val="0"/>
        </c:title>
        <c:numFmt formatCode="General" sourceLinked="1"/>
        <c:majorTickMark val="out"/>
        <c:minorTickMark val="none"/>
        <c:tickLblPos val="nextTo"/>
        <c:txPr>
          <a:bodyPr rot="-60000000" spcFirstLastPara="0" vertOverflow="ellipsis" vert="horz" wrap="square" anchor="ctr" anchorCtr="1"/>
          <a:lstStyle/>
          <a:p>
            <a:pPr>
              <a:defRPr lang="ru-RU" sz="1000" b="0" i="0" u="none" strike="noStrike" kern="1200" baseline="0">
                <a:solidFill>
                  <a:schemeClr val="tx1"/>
                </a:solidFill>
                <a:latin typeface="+mn-lt"/>
                <a:ea typeface="+mn-ea"/>
                <a:cs typeface="+mn-cs"/>
              </a:defRPr>
            </a:pPr>
          </a:p>
        </c:txPr>
        <c:crossAx val="1229376463"/>
        <c:crosses val="autoZero"/>
        <c:crossBetween val="midCat"/>
      </c:valAx>
      <c:valAx>
        <c:axId val="1229376463"/>
        <c:scaling>
          <c:orientation val="minMax"/>
        </c:scaling>
        <c:delete val="0"/>
        <c:axPos val="l"/>
        <c:title>
          <c:tx>
            <c:rich>
              <a:bodyPr rot="-5400000" spcFirstLastPara="0" vertOverflow="ellipsis" vert="horz" wrap="square" anchor="ctr" anchorCtr="1"/>
              <a:lstStyle/>
              <a:p>
                <a:pPr>
                  <a:defRPr lang="ru-RU" sz="1000" b="1" i="0" u="none" strike="noStrike" kern="1200" baseline="0">
                    <a:solidFill>
                      <a:schemeClr val="tx1"/>
                    </a:solidFill>
                    <a:latin typeface="+mn-lt"/>
                    <a:ea typeface="+mn-ea"/>
                    <a:cs typeface="+mn-cs"/>
                  </a:defRPr>
                </a:pPr>
                <a:r>
                  <a:rPr lang="ru-RU"/>
                  <a:t>Остатки</a:t>
                </a:r>
                <a:endParaRPr lang="ru-RU"/>
              </a:p>
            </c:rich>
          </c:tx>
          <c:layout/>
          <c:overlay val="0"/>
        </c:title>
        <c:numFmt formatCode="General" sourceLinked="1"/>
        <c:majorTickMark val="out"/>
        <c:minorTickMark val="none"/>
        <c:tickLblPos val="nextTo"/>
        <c:txPr>
          <a:bodyPr rot="-60000000" spcFirstLastPara="0" vertOverflow="ellipsis" vert="horz" wrap="square" anchor="ctr" anchorCtr="1"/>
          <a:lstStyle/>
          <a:p>
            <a:pPr>
              <a:defRPr lang="ru-RU" sz="1000" b="0" i="0" u="none" strike="noStrike" kern="1200" baseline="0">
                <a:solidFill>
                  <a:schemeClr val="tx1"/>
                </a:solidFill>
                <a:latin typeface="+mn-lt"/>
                <a:ea typeface="+mn-ea"/>
                <a:cs typeface="+mn-cs"/>
              </a:defRPr>
            </a:pPr>
          </a:p>
        </c:txPr>
        <c:crossAx val="1229893071"/>
        <c:crosses val="autoZero"/>
        <c:crossBetween val="midCat"/>
      </c:valAx>
    </c:plotArea>
    <c:plotVisOnly val="1"/>
    <c:dispBlanksAs val="gap"/>
    <c:showDLblsOverMax val="0"/>
    <c:extLst>
      <c:ext uri="{0b15fc19-7d7d-44ad-8c2d-2c3a37ce22c3}">
        <chartProps xmlns="https://web.wps.cn/et/2018/main" chartId="{c945976f-0754-4275-83ae-0d5898ed85ee}"/>
      </c:ext>
    </c:extLst>
  </c:chart>
  <c:txPr>
    <a:bodyPr/>
    <a:lstStyle/>
    <a:p>
      <a:pPr>
        <a:defRPr lang="ru-RU"/>
      </a:pPr>
    </a:p>
  </c:txPr>
  <c:printSettings>
    <c:headerFooter/>
    <c:pageMargins b="0.75" l="0.7" r="0.7" t="0.75" header="0.3" footer="0.3"/>
    <c:pageSetup/>
  </c:printSettings>
</c:chartSpace>
</file>

<file path=xl/charts/chart20.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0" vertOverflow="ellipsis" vert="horz" wrap="square" anchor="ctr" anchorCtr="1"/>
          <a:lstStyle/>
          <a:p>
            <a:pPr>
              <a:defRPr lang="ru-RU" sz="1800" b="1" i="0" u="none" strike="noStrike" kern="1200" baseline="0">
                <a:solidFill>
                  <a:schemeClr val="tx1"/>
                </a:solidFill>
                <a:latin typeface="+mn-lt"/>
                <a:ea typeface="+mn-ea"/>
                <a:cs typeface="+mn-cs"/>
              </a:defRPr>
            </a:pPr>
            <a:r>
              <a:rPr lang="ru-RU"/>
              <a:t>Индекс рыночных цен, в разах, </a:t>
            </a:r>
            <a:r>
              <a:rPr lang="en-US"/>
              <a:t>X8 </a:t>
            </a:r>
            <a:r>
              <a:rPr lang="ru-RU"/>
              <a:t>График остатков</a:t>
            </a:r>
            <a:endParaRPr lang="ru-RU"/>
          </a:p>
        </c:rich>
      </c:tx>
      <c:layout/>
      <c:overlay val="0"/>
    </c:title>
    <c:autoTitleDeleted val="0"/>
    <c:plotArea>
      <c:layout/>
      <c:scatterChart>
        <c:scatterStyle val="marker"/>
        <c:varyColors val="0"/>
        <c:ser>
          <c:idx val="0"/>
          <c:order val="0"/>
          <c:spPr>
            <a:ln w="19050" cap="rnd" cmpd="sng" algn="ctr">
              <a:noFill/>
              <a:prstDash val="solid"/>
              <a:round/>
            </a:ln>
          </c:spPr>
          <c:dLbls>
            <c:delete val="1"/>
          </c:dLbls>
          <c:xVal>
            <c:numRef>
              <c:f>'Исходные данные 3'!$G$2:$G$31</c:f>
              <c:numCache>
                <c:formatCode>General</c:formatCode>
                <c:ptCount val="30"/>
                <c:pt idx="0">
                  <c:v>1.02</c:v>
                </c:pt>
                <c:pt idx="1">
                  <c:v>1.03</c:v>
                </c:pt>
                <c:pt idx="2">
                  <c:v>1.02</c:v>
                </c:pt>
                <c:pt idx="3">
                  <c:v>1.04</c:v>
                </c:pt>
                <c:pt idx="4">
                  <c:v>1.03</c:v>
                </c:pt>
                <c:pt idx="5">
                  <c:v>1.03</c:v>
                </c:pt>
                <c:pt idx="6">
                  <c:v>1.04</c:v>
                </c:pt>
                <c:pt idx="7">
                  <c:v>1.05</c:v>
                </c:pt>
                <c:pt idx="8">
                  <c:v>1.07</c:v>
                </c:pt>
                <c:pt idx="9">
                  <c:v>1.2</c:v>
                </c:pt>
                <c:pt idx="10">
                  <c:v>1.25</c:v>
                </c:pt>
                <c:pt idx="11">
                  <c:v>1.28</c:v>
                </c:pt>
                <c:pt idx="12">
                  <c:v>1.32</c:v>
                </c:pt>
                <c:pt idx="13">
                  <c:v>1.35</c:v>
                </c:pt>
                <c:pt idx="14">
                  <c:v>1.32</c:v>
                </c:pt>
                <c:pt idx="15">
                  <c:v>1.32</c:v>
                </c:pt>
                <c:pt idx="16">
                  <c:v>1.45</c:v>
                </c:pt>
                <c:pt idx="17">
                  <c:v>1.48</c:v>
                </c:pt>
                <c:pt idx="18">
                  <c:v>1.31</c:v>
                </c:pt>
                <c:pt idx="19">
                  <c:v>1.22</c:v>
                </c:pt>
                <c:pt idx="20">
                  <c:v>1.15</c:v>
                </c:pt>
                <c:pt idx="21">
                  <c:v>1.11</c:v>
                </c:pt>
                <c:pt idx="22">
                  <c:v>1.08</c:v>
                </c:pt>
                <c:pt idx="23">
                  <c:v>1.06</c:v>
                </c:pt>
                <c:pt idx="24">
                  <c:v>1.06</c:v>
                </c:pt>
                <c:pt idx="25">
                  <c:v>1.05</c:v>
                </c:pt>
                <c:pt idx="26">
                  <c:v>1.05</c:v>
                </c:pt>
                <c:pt idx="27">
                  <c:v>1.03</c:v>
                </c:pt>
                <c:pt idx="28">
                  <c:v>1.04</c:v>
                </c:pt>
                <c:pt idx="29">
                  <c:v>1.05</c:v>
                </c:pt>
              </c:numCache>
            </c:numRef>
          </c:xVal>
          <c:yVal>
            <c:numRef>
              <c:f>'Анализ данных 3'!$C$30:$C$59</c:f>
              <c:numCache>
                <c:formatCode>General</c:formatCode>
                <c:ptCount val="30"/>
                <c:pt idx="0">
                  <c:v>-32.5290466595624</c:v>
                </c:pt>
                <c:pt idx="1">
                  <c:v>-61.7600131860238</c:v>
                </c:pt>
                <c:pt idx="2">
                  <c:v>-11.7183257308288</c:v>
                </c:pt>
                <c:pt idx="3">
                  <c:v>-4.96635644835408</c:v>
                </c:pt>
                <c:pt idx="4">
                  <c:v>-3.09254509437267</c:v>
                </c:pt>
                <c:pt idx="5">
                  <c:v>8.73790941109257</c:v>
                </c:pt>
                <c:pt idx="6">
                  <c:v>15.4411213009284</c:v>
                </c:pt>
                <c:pt idx="7">
                  <c:v>30.6027742505771</c:v>
                </c:pt>
                <c:pt idx="8">
                  <c:v>52.0871553644289</c:v>
                </c:pt>
                <c:pt idx="9">
                  <c:v>25.2291593056733</c:v>
                </c:pt>
                <c:pt idx="10">
                  <c:v>-51.5204525597592</c:v>
                </c:pt>
                <c:pt idx="11">
                  <c:v>0.827044857777651</c:v>
                </c:pt>
                <c:pt idx="12">
                  <c:v>-3.69773983115181</c:v>
                </c:pt>
                <c:pt idx="13">
                  <c:v>23.6820472434339</c:v>
                </c:pt>
                <c:pt idx="14">
                  <c:v>18.6318714733872</c:v>
                </c:pt>
                <c:pt idx="15">
                  <c:v>23.5680568242157</c:v>
                </c:pt>
                <c:pt idx="16">
                  <c:v>18.220535904322</c:v>
                </c:pt>
                <c:pt idx="17">
                  <c:v>-50.5985705608221</c:v>
                </c:pt>
                <c:pt idx="18">
                  <c:v>-15.2458197295211</c:v>
                </c:pt>
                <c:pt idx="19">
                  <c:v>11.7964251129526</c:v>
                </c:pt>
                <c:pt idx="20">
                  <c:v>4.2393165313249</c:v>
                </c:pt>
                <c:pt idx="21">
                  <c:v>43.7400366574481</c:v>
                </c:pt>
                <c:pt idx="22">
                  <c:v>4.53942742959168</c:v>
                </c:pt>
                <c:pt idx="23">
                  <c:v>-36.1738164685838</c:v>
                </c:pt>
                <c:pt idx="24">
                  <c:v>-23.5588081791749</c:v>
                </c:pt>
                <c:pt idx="25">
                  <c:v>-25.477521843046</c:v>
                </c:pt>
                <c:pt idx="26">
                  <c:v>24.4587500827488</c:v>
                </c:pt>
                <c:pt idx="27">
                  <c:v>37.8217678338622</c:v>
                </c:pt>
                <c:pt idx="28">
                  <c:v>-3.95183995660466</c:v>
                </c:pt>
                <c:pt idx="29">
                  <c:v>-19.3325433359541</c:v>
                </c:pt>
              </c:numCache>
            </c:numRef>
          </c:yVal>
          <c:smooth val="0"/>
        </c:ser>
        <c:dLbls>
          <c:showLegendKey val="0"/>
          <c:showVal val="0"/>
          <c:showCatName val="0"/>
          <c:showSerName val="0"/>
          <c:showPercent val="0"/>
          <c:showBubbleSize val="0"/>
        </c:dLbls>
        <c:axId val="1229881471"/>
        <c:axId val="1229375631"/>
      </c:scatterChart>
      <c:valAx>
        <c:axId val="1229881471"/>
        <c:scaling>
          <c:orientation val="minMax"/>
        </c:scaling>
        <c:delete val="0"/>
        <c:axPos val="b"/>
        <c:title>
          <c:tx>
            <c:rich>
              <a:bodyPr rot="0" spcFirstLastPara="0" vertOverflow="ellipsis" vert="horz" wrap="square" anchor="ctr" anchorCtr="1"/>
              <a:lstStyle/>
              <a:p>
                <a:pPr>
                  <a:defRPr lang="ru-RU" sz="1000" b="1" i="0" u="none" strike="noStrike" kern="1200" baseline="0">
                    <a:solidFill>
                      <a:schemeClr val="tx1"/>
                    </a:solidFill>
                    <a:latin typeface="+mn-lt"/>
                    <a:ea typeface="+mn-ea"/>
                    <a:cs typeface="+mn-cs"/>
                  </a:defRPr>
                </a:pPr>
                <a:r>
                  <a:rPr lang="ru-RU"/>
                  <a:t>Индекс рыночных цен, в разах, </a:t>
                </a:r>
                <a:r>
                  <a:rPr lang="en-US"/>
                  <a:t>X8</a:t>
                </a:r>
                <a:endParaRPr lang="en-US"/>
              </a:p>
            </c:rich>
          </c:tx>
          <c:layout/>
          <c:overlay val="0"/>
        </c:title>
        <c:numFmt formatCode="General" sourceLinked="1"/>
        <c:majorTickMark val="out"/>
        <c:minorTickMark val="none"/>
        <c:tickLblPos val="nextTo"/>
        <c:txPr>
          <a:bodyPr rot="-60000000" spcFirstLastPara="0" vertOverflow="ellipsis" vert="horz" wrap="square" anchor="ctr" anchorCtr="1"/>
          <a:lstStyle/>
          <a:p>
            <a:pPr>
              <a:defRPr lang="ru-RU" sz="1000" b="0" i="0" u="none" strike="noStrike" kern="1200" baseline="0">
                <a:solidFill>
                  <a:schemeClr val="tx1"/>
                </a:solidFill>
                <a:latin typeface="+mn-lt"/>
                <a:ea typeface="+mn-ea"/>
                <a:cs typeface="+mn-cs"/>
              </a:defRPr>
            </a:pPr>
          </a:p>
        </c:txPr>
        <c:crossAx val="1229375631"/>
        <c:crosses val="autoZero"/>
        <c:crossBetween val="midCat"/>
      </c:valAx>
      <c:valAx>
        <c:axId val="1229375631"/>
        <c:scaling>
          <c:orientation val="minMax"/>
        </c:scaling>
        <c:delete val="0"/>
        <c:axPos val="l"/>
        <c:title>
          <c:tx>
            <c:rich>
              <a:bodyPr rot="-5400000" spcFirstLastPara="0" vertOverflow="ellipsis" vert="horz" wrap="square" anchor="ctr" anchorCtr="1"/>
              <a:lstStyle/>
              <a:p>
                <a:pPr>
                  <a:defRPr lang="ru-RU" sz="1000" b="1" i="0" u="none" strike="noStrike" kern="1200" baseline="0">
                    <a:solidFill>
                      <a:schemeClr val="tx1"/>
                    </a:solidFill>
                    <a:latin typeface="+mn-lt"/>
                    <a:ea typeface="+mn-ea"/>
                    <a:cs typeface="+mn-cs"/>
                  </a:defRPr>
                </a:pPr>
                <a:r>
                  <a:rPr lang="ru-RU"/>
                  <a:t>Остатки</a:t>
                </a:r>
                <a:endParaRPr lang="ru-RU"/>
              </a:p>
            </c:rich>
          </c:tx>
          <c:layout/>
          <c:overlay val="0"/>
        </c:title>
        <c:numFmt formatCode="General" sourceLinked="1"/>
        <c:majorTickMark val="out"/>
        <c:minorTickMark val="none"/>
        <c:tickLblPos val="nextTo"/>
        <c:txPr>
          <a:bodyPr rot="-60000000" spcFirstLastPara="0" vertOverflow="ellipsis" vert="horz" wrap="square" anchor="ctr" anchorCtr="1"/>
          <a:lstStyle/>
          <a:p>
            <a:pPr>
              <a:defRPr lang="ru-RU" sz="1000" b="0" i="0" u="none" strike="noStrike" kern="1200" baseline="0">
                <a:solidFill>
                  <a:schemeClr val="tx1"/>
                </a:solidFill>
                <a:latin typeface="+mn-lt"/>
                <a:ea typeface="+mn-ea"/>
                <a:cs typeface="+mn-cs"/>
              </a:defRPr>
            </a:pPr>
          </a:p>
        </c:txPr>
        <c:crossAx val="1229881471"/>
        <c:crosses val="autoZero"/>
        <c:crossBetween val="midCat"/>
      </c:valAx>
    </c:plotArea>
    <c:plotVisOnly val="1"/>
    <c:dispBlanksAs val="gap"/>
    <c:showDLblsOverMax val="0"/>
    <c:extLst>
      <c:ext uri="{0b15fc19-7d7d-44ad-8c2d-2c3a37ce22c3}">
        <chartProps xmlns="https://web.wps.cn/et/2018/main" chartId="{7634096b-9375-41f4-bb83-988d37bf4af5}"/>
      </c:ext>
    </c:extLst>
  </c:chart>
  <c:txPr>
    <a:bodyPr/>
    <a:lstStyle/>
    <a:p>
      <a:pPr>
        <a:defRPr lang="ru-RU"/>
      </a:pPr>
    </a:p>
  </c:txPr>
  <c:printSettings>
    <c:headerFooter/>
    <c:pageMargins b="0.75" l="0.7" r="0.7" t="0.75" header="0.3" footer="0.3"/>
    <c:pageSetup/>
  </c:printSettings>
</c:chartSpace>
</file>

<file path=xl/charts/chart21.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0" vertOverflow="ellipsis" vert="horz" wrap="square" anchor="ctr" anchorCtr="1"/>
          <a:lstStyle/>
          <a:p>
            <a:pPr>
              <a:defRPr lang="ru-RU" sz="1800" b="1" i="0" u="none" strike="noStrike" kern="1200" baseline="0">
                <a:solidFill>
                  <a:schemeClr val="tx1"/>
                </a:solidFill>
                <a:latin typeface="+mn-lt"/>
                <a:ea typeface="+mn-ea"/>
                <a:cs typeface="+mn-cs"/>
              </a:defRPr>
            </a:pPr>
            <a:r>
              <a:rPr lang="ru-RU"/>
              <a:t>Уровень использования производственных мощностей, %, </a:t>
            </a:r>
            <a:r>
              <a:rPr lang="en-US"/>
              <a:t>X9 </a:t>
            </a:r>
            <a:r>
              <a:rPr lang="ru-RU"/>
              <a:t>График остатков</a:t>
            </a:r>
            <a:endParaRPr lang="ru-RU"/>
          </a:p>
        </c:rich>
      </c:tx>
      <c:layout/>
      <c:overlay val="0"/>
    </c:title>
    <c:autoTitleDeleted val="0"/>
    <c:plotArea>
      <c:layout/>
      <c:scatterChart>
        <c:scatterStyle val="marker"/>
        <c:varyColors val="0"/>
        <c:ser>
          <c:idx val="0"/>
          <c:order val="0"/>
          <c:spPr>
            <a:ln w="19050" cap="rnd" cmpd="sng" algn="ctr">
              <a:noFill/>
              <a:prstDash val="solid"/>
              <a:round/>
            </a:ln>
          </c:spPr>
          <c:dLbls>
            <c:delete val="1"/>
          </c:dLbls>
          <c:xVal>
            <c:numRef>
              <c:f>'Исходные данные 3'!$H$2:$H$31</c:f>
              <c:numCache>
                <c:formatCode>General</c:formatCode>
                <c:ptCount val="30"/>
                <c:pt idx="0">
                  <c:v>96</c:v>
                </c:pt>
                <c:pt idx="1">
                  <c:v>97</c:v>
                </c:pt>
                <c:pt idx="2">
                  <c:v>96</c:v>
                </c:pt>
                <c:pt idx="3">
                  <c:v>93</c:v>
                </c:pt>
                <c:pt idx="4">
                  <c:v>93</c:v>
                </c:pt>
                <c:pt idx="5">
                  <c:v>94</c:v>
                </c:pt>
                <c:pt idx="6">
                  <c:v>95</c:v>
                </c:pt>
                <c:pt idx="7">
                  <c:v>95</c:v>
                </c:pt>
                <c:pt idx="8">
                  <c:v>95</c:v>
                </c:pt>
                <c:pt idx="9">
                  <c:v>95</c:v>
                </c:pt>
                <c:pt idx="10">
                  <c:v>88</c:v>
                </c:pt>
                <c:pt idx="11">
                  <c:v>85</c:v>
                </c:pt>
                <c:pt idx="12">
                  <c:v>72</c:v>
                </c:pt>
                <c:pt idx="13">
                  <c:v>68</c:v>
                </c:pt>
                <c:pt idx="14">
                  <c:v>66</c:v>
                </c:pt>
                <c:pt idx="15">
                  <c:v>62</c:v>
                </c:pt>
                <c:pt idx="16">
                  <c:v>60</c:v>
                </c:pt>
                <c:pt idx="17">
                  <c:v>60</c:v>
                </c:pt>
                <c:pt idx="18">
                  <c:v>70</c:v>
                </c:pt>
                <c:pt idx="19">
                  <c:v>80</c:v>
                </c:pt>
                <c:pt idx="20">
                  <c:v>87</c:v>
                </c:pt>
                <c:pt idx="21">
                  <c:v>89</c:v>
                </c:pt>
                <c:pt idx="22">
                  <c:v>89</c:v>
                </c:pt>
                <c:pt idx="23">
                  <c:v>89</c:v>
                </c:pt>
                <c:pt idx="24">
                  <c:v>87</c:v>
                </c:pt>
                <c:pt idx="25">
                  <c:v>83</c:v>
                </c:pt>
                <c:pt idx="26">
                  <c:v>88</c:v>
                </c:pt>
                <c:pt idx="27">
                  <c:v>96</c:v>
                </c:pt>
                <c:pt idx="28">
                  <c:v>97</c:v>
                </c:pt>
                <c:pt idx="29">
                  <c:v>90</c:v>
                </c:pt>
              </c:numCache>
            </c:numRef>
          </c:xVal>
          <c:yVal>
            <c:numRef>
              <c:f>'Анализ данных 3'!$C$30:$C$59</c:f>
              <c:numCache>
                <c:formatCode>General</c:formatCode>
                <c:ptCount val="30"/>
                <c:pt idx="0">
                  <c:v>-32.5290466595624</c:v>
                </c:pt>
                <c:pt idx="1">
                  <c:v>-61.7600131860238</c:v>
                </c:pt>
                <c:pt idx="2">
                  <c:v>-11.7183257308288</c:v>
                </c:pt>
                <c:pt idx="3">
                  <c:v>-4.96635644835408</c:v>
                </c:pt>
                <c:pt idx="4">
                  <c:v>-3.09254509437267</c:v>
                </c:pt>
                <c:pt idx="5">
                  <c:v>8.73790941109257</c:v>
                </c:pt>
                <c:pt idx="6">
                  <c:v>15.4411213009284</c:v>
                </c:pt>
                <c:pt idx="7">
                  <c:v>30.6027742505771</c:v>
                </c:pt>
                <c:pt idx="8">
                  <c:v>52.0871553644289</c:v>
                </c:pt>
                <c:pt idx="9">
                  <c:v>25.2291593056733</c:v>
                </c:pt>
                <c:pt idx="10">
                  <c:v>-51.5204525597592</c:v>
                </c:pt>
                <c:pt idx="11">
                  <c:v>0.827044857777651</c:v>
                </c:pt>
                <c:pt idx="12">
                  <c:v>-3.69773983115181</c:v>
                </c:pt>
                <c:pt idx="13">
                  <c:v>23.6820472434339</c:v>
                </c:pt>
                <c:pt idx="14">
                  <c:v>18.6318714733872</c:v>
                </c:pt>
                <c:pt idx="15">
                  <c:v>23.5680568242157</c:v>
                </c:pt>
                <c:pt idx="16">
                  <c:v>18.220535904322</c:v>
                </c:pt>
                <c:pt idx="17">
                  <c:v>-50.5985705608221</c:v>
                </c:pt>
                <c:pt idx="18">
                  <c:v>-15.2458197295211</c:v>
                </c:pt>
                <c:pt idx="19">
                  <c:v>11.7964251129526</c:v>
                </c:pt>
                <c:pt idx="20">
                  <c:v>4.2393165313249</c:v>
                </c:pt>
                <c:pt idx="21">
                  <c:v>43.7400366574481</c:v>
                </c:pt>
                <c:pt idx="22">
                  <c:v>4.53942742959168</c:v>
                </c:pt>
                <c:pt idx="23">
                  <c:v>-36.1738164685838</c:v>
                </c:pt>
                <c:pt idx="24">
                  <c:v>-23.5588081791749</c:v>
                </c:pt>
                <c:pt idx="25">
                  <c:v>-25.477521843046</c:v>
                </c:pt>
                <c:pt idx="26">
                  <c:v>24.4587500827488</c:v>
                </c:pt>
                <c:pt idx="27">
                  <c:v>37.8217678338622</c:v>
                </c:pt>
                <c:pt idx="28">
                  <c:v>-3.95183995660466</c:v>
                </c:pt>
                <c:pt idx="29">
                  <c:v>-19.3325433359541</c:v>
                </c:pt>
              </c:numCache>
            </c:numRef>
          </c:yVal>
          <c:smooth val="0"/>
        </c:ser>
        <c:dLbls>
          <c:showLegendKey val="0"/>
          <c:showVal val="0"/>
          <c:showCatName val="0"/>
          <c:showSerName val="0"/>
          <c:showPercent val="0"/>
          <c:showBubbleSize val="0"/>
        </c:dLbls>
        <c:axId val="1229881471"/>
        <c:axId val="1229376047"/>
      </c:scatterChart>
      <c:valAx>
        <c:axId val="1229881471"/>
        <c:scaling>
          <c:orientation val="minMax"/>
        </c:scaling>
        <c:delete val="0"/>
        <c:axPos val="b"/>
        <c:title>
          <c:tx>
            <c:rich>
              <a:bodyPr rot="0" spcFirstLastPara="0" vertOverflow="ellipsis" vert="horz" wrap="square" anchor="ctr" anchorCtr="1"/>
              <a:lstStyle/>
              <a:p>
                <a:pPr>
                  <a:defRPr lang="ru-RU" sz="1000" b="1" i="0" u="none" strike="noStrike" kern="1200" baseline="0">
                    <a:solidFill>
                      <a:schemeClr val="tx1"/>
                    </a:solidFill>
                    <a:latin typeface="+mn-lt"/>
                    <a:ea typeface="+mn-ea"/>
                    <a:cs typeface="+mn-cs"/>
                  </a:defRPr>
                </a:pPr>
                <a:r>
                  <a:rPr lang="ru-RU"/>
                  <a:t>Уровень использования производственных мощностей, %, </a:t>
                </a:r>
                <a:r>
                  <a:rPr lang="en-US"/>
                  <a:t>X9</a:t>
                </a:r>
                <a:endParaRPr lang="en-US"/>
              </a:p>
            </c:rich>
          </c:tx>
          <c:layout/>
          <c:overlay val="0"/>
        </c:title>
        <c:numFmt formatCode="General" sourceLinked="1"/>
        <c:majorTickMark val="out"/>
        <c:minorTickMark val="none"/>
        <c:tickLblPos val="nextTo"/>
        <c:txPr>
          <a:bodyPr rot="-60000000" spcFirstLastPara="0" vertOverflow="ellipsis" vert="horz" wrap="square" anchor="ctr" anchorCtr="1"/>
          <a:lstStyle/>
          <a:p>
            <a:pPr>
              <a:defRPr lang="ru-RU" sz="1000" b="0" i="0" u="none" strike="noStrike" kern="1200" baseline="0">
                <a:solidFill>
                  <a:schemeClr val="tx1"/>
                </a:solidFill>
                <a:latin typeface="+mn-lt"/>
                <a:ea typeface="+mn-ea"/>
                <a:cs typeface="+mn-cs"/>
              </a:defRPr>
            </a:pPr>
          </a:p>
        </c:txPr>
        <c:crossAx val="1229376047"/>
        <c:crosses val="autoZero"/>
        <c:crossBetween val="midCat"/>
      </c:valAx>
      <c:valAx>
        <c:axId val="1229376047"/>
        <c:scaling>
          <c:orientation val="minMax"/>
        </c:scaling>
        <c:delete val="0"/>
        <c:axPos val="l"/>
        <c:title>
          <c:tx>
            <c:rich>
              <a:bodyPr rot="-5400000" spcFirstLastPara="0" vertOverflow="ellipsis" vert="horz" wrap="square" anchor="ctr" anchorCtr="1"/>
              <a:lstStyle/>
              <a:p>
                <a:pPr>
                  <a:defRPr lang="ru-RU" sz="1000" b="1" i="0" u="none" strike="noStrike" kern="1200" baseline="0">
                    <a:solidFill>
                      <a:schemeClr val="tx1"/>
                    </a:solidFill>
                    <a:latin typeface="+mn-lt"/>
                    <a:ea typeface="+mn-ea"/>
                    <a:cs typeface="+mn-cs"/>
                  </a:defRPr>
                </a:pPr>
                <a:r>
                  <a:rPr lang="ru-RU"/>
                  <a:t>Остатки</a:t>
                </a:r>
                <a:endParaRPr lang="ru-RU"/>
              </a:p>
            </c:rich>
          </c:tx>
          <c:layout/>
          <c:overlay val="0"/>
        </c:title>
        <c:numFmt formatCode="General" sourceLinked="1"/>
        <c:majorTickMark val="out"/>
        <c:minorTickMark val="none"/>
        <c:tickLblPos val="nextTo"/>
        <c:txPr>
          <a:bodyPr rot="-60000000" spcFirstLastPara="0" vertOverflow="ellipsis" vert="horz" wrap="square" anchor="ctr" anchorCtr="1"/>
          <a:lstStyle/>
          <a:p>
            <a:pPr>
              <a:defRPr lang="ru-RU" sz="1000" b="0" i="0" u="none" strike="noStrike" kern="1200" baseline="0">
                <a:solidFill>
                  <a:schemeClr val="tx1"/>
                </a:solidFill>
                <a:latin typeface="+mn-lt"/>
                <a:ea typeface="+mn-ea"/>
                <a:cs typeface="+mn-cs"/>
              </a:defRPr>
            </a:pPr>
          </a:p>
        </c:txPr>
        <c:crossAx val="1229881471"/>
        <c:crosses val="autoZero"/>
        <c:crossBetween val="midCat"/>
      </c:valAx>
    </c:plotArea>
    <c:plotVisOnly val="1"/>
    <c:dispBlanksAs val="gap"/>
    <c:showDLblsOverMax val="0"/>
    <c:extLst>
      <c:ext uri="{0b15fc19-7d7d-44ad-8c2d-2c3a37ce22c3}">
        <chartProps xmlns="https://web.wps.cn/et/2018/main" chartId="{3a135763-9ae0-4f4b-8dc1-dec840bd39ef}"/>
      </c:ext>
    </c:extLst>
  </c:chart>
  <c:txPr>
    <a:bodyPr/>
    <a:lstStyle/>
    <a:p>
      <a:pPr>
        <a:defRPr lang="ru-RU"/>
      </a:pPr>
    </a:p>
  </c:txPr>
  <c:printSettings>
    <c:headerFooter/>
    <c:pageMargins b="0.75" l="0.7" r="0.7" t="0.75" header="0.3" footer="0.3"/>
    <c:pageSetup/>
  </c:printSettings>
</c:chartSpace>
</file>

<file path=xl/charts/chart22.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0" vertOverflow="ellipsis" vert="horz" wrap="square" anchor="ctr" anchorCtr="1"/>
          <a:lstStyle/>
          <a:p>
            <a:pPr>
              <a:defRPr lang="ru-RU" sz="1800" b="1" i="0" u="none" strike="noStrike" kern="1200" baseline="0">
                <a:solidFill>
                  <a:schemeClr val="tx1"/>
                </a:solidFill>
                <a:latin typeface="+mn-lt"/>
                <a:ea typeface="+mn-ea"/>
                <a:cs typeface="+mn-cs"/>
              </a:defRPr>
            </a:pPr>
            <a:r>
              <a:rPr lang="ru-RU"/>
              <a:t>Инвестиции в основной капитал, млн руб., </a:t>
            </a:r>
            <a:r>
              <a:rPr lang="en-US"/>
              <a:t>X1 </a:t>
            </a:r>
            <a:r>
              <a:rPr lang="ru-RU"/>
              <a:t>График подбора</a:t>
            </a:r>
            <a:endParaRPr lang="ru-RU"/>
          </a:p>
        </c:rich>
      </c:tx>
      <c:layout/>
      <c:overlay val="0"/>
    </c:title>
    <c:autoTitleDeleted val="0"/>
    <c:plotArea>
      <c:layout/>
      <c:scatterChart>
        <c:scatterStyle val="marker"/>
        <c:varyColors val="0"/>
        <c:ser>
          <c:idx val="0"/>
          <c:order val="0"/>
          <c:tx>
            <c:strRef>
              <c:f>"Прибыль, млн руб., Y"</c:f>
              <c:strCache>
                <c:ptCount val="1"/>
                <c:pt idx="0">
                  <c:v>Прибыль, млн руб., Y</c:v>
                </c:pt>
              </c:strCache>
            </c:strRef>
          </c:tx>
          <c:spPr>
            <a:ln w="19050" cap="rnd" cmpd="sng" algn="ctr">
              <a:noFill/>
              <a:prstDash val="solid"/>
              <a:round/>
            </a:ln>
          </c:spPr>
          <c:dLbls>
            <c:delete val="1"/>
          </c:dLbls>
          <c:xVal>
            <c:numRef>
              <c:f>'Исходные данные 3'!$C$2:$C$31</c:f>
              <c:numCache>
                <c:formatCode>General</c:formatCode>
                <c:ptCount val="30"/>
                <c:pt idx="0">
                  <c:v>145</c:v>
                </c:pt>
                <c:pt idx="1">
                  <c:v>150</c:v>
                </c:pt>
                <c:pt idx="2">
                  <c:v>160</c:v>
                </c:pt>
                <c:pt idx="3">
                  <c:v>165</c:v>
                </c:pt>
                <c:pt idx="4">
                  <c:v>165</c:v>
                </c:pt>
                <c:pt idx="5">
                  <c:v>164</c:v>
                </c:pt>
                <c:pt idx="6">
                  <c:v>170</c:v>
                </c:pt>
                <c:pt idx="7">
                  <c:v>175</c:v>
                </c:pt>
                <c:pt idx="8">
                  <c:v>180</c:v>
                </c:pt>
                <c:pt idx="9">
                  <c:v>192</c:v>
                </c:pt>
                <c:pt idx="10">
                  <c:v>195</c:v>
                </c:pt>
                <c:pt idx="11">
                  <c:v>196</c:v>
                </c:pt>
                <c:pt idx="12">
                  <c:v>199</c:v>
                </c:pt>
                <c:pt idx="13">
                  <c:v>200</c:v>
                </c:pt>
                <c:pt idx="14">
                  <c:v>200</c:v>
                </c:pt>
                <c:pt idx="15">
                  <c:v>205</c:v>
                </c:pt>
                <c:pt idx="16">
                  <c:v>210</c:v>
                </c:pt>
                <c:pt idx="17">
                  <c:v>220</c:v>
                </c:pt>
                <c:pt idx="18">
                  <c:v>230</c:v>
                </c:pt>
                <c:pt idx="19">
                  <c:v>240</c:v>
                </c:pt>
                <c:pt idx="20">
                  <c:v>250</c:v>
                </c:pt>
                <c:pt idx="21">
                  <c:v>260</c:v>
                </c:pt>
                <c:pt idx="22">
                  <c:v>270</c:v>
                </c:pt>
                <c:pt idx="23">
                  <c:v>275</c:v>
                </c:pt>
                <c:pt idx="24">
                  <c:v>280</c:v>
                </c:pt>
                <c:pt idx="25">
                  <c:v>290</c:v>
                </c:pt>
                <c:pt idx="26">
                  <c:v>295</c:v>
                </c:pt>
                <c:pt idx="27">
                  <c:v>300</c:v>
                </c:pt>
                <c:pt idx="28">
                  <c:v>380</c:v>
                </c:pt>
                <c:pt idx="29">
                  <c:v>410</c:v>
                </c:pt>
              </c:numCache>
            </c:numRef>
          </c:xVal>
          <c:yVal>
            <c:numRef>
              <c:f>'Исходные данные 3'!$B$2:$B$31</c:f>
              <c:numCache>
                <c:formatCode>General</c:formatCode>
                <c:ptCount val="30"/>
                <c:pt idx="0">
                  <c:v>335</c:v>
                </c:pt>
                <c:pt idx="1">
                  <c:v>336</c:v>
                </c:pt>
                <c:pt idx="2">
                  <c:v>388</c:v>
                </c:pt>
                <c:pt idx="3">
                  <c:v>420</c:v>
                </c:pt>
                <c:pt idx="4">
                  <c:v>450</c:v>
                </c:pt>
                <c:pt idx="5">
                  <c:v>450</c:v>
                </c:pt>
                <c:pt idx="6">
                  <c:v>500</c:v>
                </c:pt>
                <c:pt idx="7">
                  <c:v>520</c:v>
                </c:pt>
                <c:pt idx="8">
                  <c:v>550</c:v>
                </c:pt>
                <c:pt idx="9">
                  <c:v>600</c:v>
                </c:pt>
                <c:pt idx="10">
                  <c:v>605</c:v>
                </c:pt>
                <c:pt idx="11">
                  <c:v>620</c:v>
                </c:pt>
                <c:pt idx="12">
                  <c:v>630</c:v>
                </c:pt>
                <c:pt idx="13">
                  <c:v>655</c:v>
                </c:pt>
                <c:pt idx="14">
                  <c:v>690</c:v>
                </c:pt>
                <c:pt idx="15">
                  <c:v>690</c:v>
                </c:pt>
                <c:pt idx="16">
                  <c:v>710</c:v>
                </c:pt>
                <c:pt idx="17">
                  <c:v>720</c:v>
                </c:pt>
                <c:pt idx="18">
                  <c:v>745</c:v>
                </c:pt>
                <c:pt idx="19">
                  <c:v>760</c:v>
                </c:pt>
                <c:pt idx="20">
                  <c:v>780</c:v>
                </c:pt>
                <c:pt idx="21">
                  <c:v>840</c:v>
                </c:pt>
                <c:pt idx="22">
                  <c:v>845</c:v>
                </c:pt>
                <c:pt idx="23">
                  <c:v>850</c:v>
                </c:pt>
                <c:pt idx="24">
                  <c:v>860</c:v>
                </c:pt>
                <c:pt idx="25">
                  <c:v>890</c:v>
                </c:pt>
                <c:pt idx="26">
                  <c:v>940</c:v>
                </c:pt>
                <c:pt idx="27">
                  <c:v>960</c:v>
                </c:pt>
                <c:pt idx="28">
                  <c:v>980</c:v>
                </c:pt>
                <c:pt idx="29">
                  <c:v>990</c:v>
                </c:pt>
              </c:numCache>
            </c:numRef>
          </c:yVal>
          <c:smooth val="0"/>
        </c:ser>
        <c:ser>
          <c:idx val="1"/>
          <c:order val="1"/>
          <c:tx>
            <c:strRef>
              <c:f>"Предсказанное Прибыль, млн руб., Y"</c:f>
              <c:strCache>
                <c:ptCount val="1"/>
                <c:pt idx="0">
                  <c:v>Предсказанное Прибыль, млн руб., Y</c:v>
                </c:pt>
              </c:strCache>
            </c:strRef>
          </c:tx>
          <c:spPr>
            <a:ln w="19050" cap="rnd" cmpd="sng" algn="ctr">
              <a:noFill/>
              <a:prstDash val="solid"/>
              <a:round/>
            </a:ln>
          </c:spPr>
          <c:dLbls>
            <c:delete val="1"/>
          </c:dLbls>
          <c:xVal>
            <c:numRef>
              <c:f>'Исходные данные 3'!$C$2:$C$31</c:f>
              <c:numCache>
                <c:formatCode>General</c:formatCode>
                <c:ptCount val="30"/>
                <c:pt idx="0">
                  <c:v>145</c:v>
                </c:pt>
                <c:pt idx="1">
                  <c:v>150</c:v>
                </c:pt>
                <c:pt idx="2">
                  <c:v>160</c:v>
                </c:pt>
                <c:pt idx="3">
                  <c:v>165</c:v>
                </c:pt>
                <c:pt idx="4">
                  <c:v>165</c:v>
                </c:pt>
                <c:pt idx="5">
                  <c:v>164</c:v>
                </c:pt>
                <c:pt idx="6">
                  <c:v>170</c:v>
                </c:pt>
                <c:pt idx="7">
                  <c:v>175</c:v>
                </c:pt>
                <c:pt idx="8">
                  <c:v>180</c:v>
                </c:pt>
                <c:pt idx="9">
                  <c:v>192</c:v>
                </c:pt>
                <c:pt idx="10">
                  <c:v>195</c:v>
                </c:pt>
                <c:pt idx="11">
                  <c:v>196</c:v>
                </c:pt>
                <c:pt idx="12">
                  <c:v>199</c:v>
                </c:pt>
                <c:pt idx="13">
                  <c:v>200</c:v>
                </c:pt>
                <c:pt idx="14">
                  <c:v>200</c:v>
                </c:pt>
                <c:pt idx="15">
                  <c:v>205</c:v>
                </c:pt>
                <c:pt idx="16">
                  <c:v>210</c:v>
                </c:pt>
                <c:pt idx="17">
                  <c:v>220</c:v>
                </c:pt>
                <c:pt idx="18">
                  <c:v>230</c:v>
                </c:pt>
                <c:pt idx="19">
                  <c:v>240</c:v>
                </c:pt>
                <c:pt idx="20">
                  <c:v>250</c:v>
                </c:pt>
                <c:pt idx="21">
                  <c:v>260</c:v>
                </c:pt>
                <c:pt idx="22">
                  <c:v>270</c:v>
                </c:pt>
                <c:pt idx="23">
                  <c:v>275</c:v>
                </c:pt>
                <c:pt idx="24">
                  <c:v>280</c:v>
                </c:pt>
                <c:pt idx="25">
                  <c:v>290</c:v>
                </c:pt>
                <c:pt idx="26">
                  <c:v>295</c:v>
                </c:pt>
                <c:pt idx="27">
                  <c:v>300</c:v>
                </c:pt>
                <c:pt idx="28">
                  <c:v>380</c:v>
                </c:pt>
                <c:pt idx="29">
                  <c:v>410</c:v>
                </c:pt>
              </c:numCache>
            </c:numRef>
          </c:xVal>
          <c:yVal>
            <c:numRef>
              <c:f>'Анализ данных 3'!$B$30:$B$59</c:f>
              <c:numCache>
                <c:formatCode>General</c:formatCode>
                <c:ptCount val="30"/>
                <c:pt idx="0">
                  <c:v>367.529046659562</c:v>
                </c:pt>
                <c:pt idx="1">
                  <c:v>397.760013186024</c:v>
                </c:pt>
                <c:pt idx="2">
                  <c:v>399.718325730829</c:v>
                </c:pt>
                <c:pt idx="3">
                  <c:v>424.966356448354</c:v>
                </c:pt>
                <c:pt idx="4">
                  <c:v>453.092545094373</c:v>
                </c:pt>
                <c:pt idx="5">
                  <c:v>441.262090588907</c:v>
                </c:pt>
                <c:pt idx="6">
                  <c:v>484.558878699072</c:v>
                </c:pt>
                <c:pt idx="7">
                  <c:v>489.397225749423</c:v>
                </c:pt>
                <c:pt idx="8">
                  <c:v>497.912844635571</c:v>
                </c:pt>
                <c:pt idx="9">
                  <c:v>574.770840694327</c:v>
                </c:pt>
                <c:pt idx="10">
                  <c:v>656.520452559759</c:v>
                </c:pt>
                <c:pt idx="11">
                  <c:v>619.172955142222</c:v>
                </c:pt>
                <c:pt idx="12">
                  <c:v>633.697739831152</c:v>
                </c:pt>
                <c:pt idx="13">
                  <c:v>631.317952756566</c:v>
                </c:pt>
                <c:pt idx="14">
                  <c:v>671.368128526613</c:v>
                </c:pt>
                <c:pt idx="15">
                  <c:v>666.431943175784</c:v>
                </c:pt>
                <c:pt idx="16">
                  <c:v>691.779464095678</c:v>
                </c:pt>
                <c:pt idx="17">
                  <c:v>770.598570560822</c:v>
                </c:pt>
                <c:pt idx="18">
                  <c:v>760.245819729521</c:v>
                </c:pt>
                <c:pt idx="19">
                  <c:v>748.203574887047</c:v>
                </c:pt>
                <c:pt idx="20">
                  <c:v>775.760683468675</c:v>
                </c:pt>
                <c:pt idx="21">
                  <c:v>796.259963342552</c:v>
                </c:pt>
                <c:pt idx="22">
                  <c:v>840.460572570408</c:v>
                </c:pt>
                <c:pt idx="23">
                  <c:v>886.173816468584</c:v>
                </c:pt>
                <c:pt idx="24">
                  <c:v>883.558808179175</c:v>
                </c:pt>
                <c:pt idx="25">
                  <c:v>915.477521843046</c:v>
                </c:pt>
                <c:pt idx="26">
                  <c:v>915.541249917251</c:v>
                </c:pt>
                <c:pt idx="27">
                  <c:v>922.178232166138</c:v>
                </c:pt>
                <c:pt idx="28">
                  <c:v>983.951839956605</c:v>
                </c:pt>
                <c:pt idx="29">
                  <c:v>1009.33254333595</c:v>
                </c:pt>
              </c:numCache>
            </c:numRef>
          </c:yVal>
          <c:smooth val="0"/>
        </c:ser>
        <c:dLbls>
          <c:showLegendKey val="0"/>
          <c:showVal val="0"/>
          <c:showCatName val="0"/>
          <c:showSerName val="0"/>
          <c:showPercent val="0"/>
          <c:showBubbleSize val="0"/>
        </c:dLbls>
        <c:axId val="1229885071"/>
        <c:axId val="1229376879"/>
      </c:scatterChart>
      <c:valAx>
        <c:axId val="1229885071"/>
        <c:scaling>
          <c:orientation val="minMax"/>
        </c:scaling>
        <c:delete val="0"/>
        <c:axPos val="b"/>
        <c:title>
          <c:tx>
            <c:rich>
              <a:bodyPr rot="0" spcFirstLastPara="0" vertOverflow="ellipsis" vert="horz" wrap="square" anchor="ctr" anchorCtr="1"/>
              <a:lstStyle/>
              <a:p>
                <a:pPr>
                  <a:defRPr lang="ru-RU" sz="1000" b="1" i="0" u="none" strike="noStrike" kern="1200" baseline="0">
                    <a:solidFill>
                      <a:schemeClr val="tx1"/>
                    </a:solidFill>
                    <a:latin typeface="+mn-lt"/>
                    <a:ea typeface="+mn-ea"/>
                    <a:cs typeface="+mn-cs"/>
                  </a:defRPr>
                </a:pPr>
                <a:r>
                  <a:rPr lang="ru-RU"/>
                  <a:t>Инвестиции в основной капитал, млн руб., </a:t>
                </a:r>
                <a:r>
                  <a:rPr lang="en-US"/>
                  <a:t>X1</a:t>
                </a:r>
                <a:endParaRPr lang="en-US"/>
              </a:p>
            </c:rich>
          </c:tx>
          <c:layout/>
          <c:overlay val="0"/>
        </c:title>
        <c:numFmt formatCode="General" sourceLinked="1"/>
        <c:majorTickMark val="out"/>
        <c:minorTickMark val="none"/>
        <c:tickLblPos val="nextTo"/>
        <c:txPr>
          <a:bodyPr rot="-60000000" spcFirstLastPara="0" vertOverflow="ellipsis" vert="horz" wrap="square" anchor="ctr" anchorCtr="1"/>
          <a:lstStyle/>
          <a:p>
            <a:pPr>
              <a:defRPr lang="ru-RU" sz="1000" b="0" i="0" u="none" strike="noStrike" kern="1200" baseline="0">
                <a:solidFill>
                  <a:schemeClr val="tx1"/>
                </a:solidFill>
                <a:latin typeface="+mn-lt"/>
                <a:ea typeface="+mn-ea"/>
                <a:cs typeface="+mn-cs"/>
              </a:defRPr>
            </a:pPr>
          </a:p>
        </c:txPr>
        <c:crossAx val="1229376879"/>
        <c:crosses val="autoZero"/>
        <c:crossBetween val="midCat"/>
      </c:valAx>
      <c:valAx>
        <c:axId val="1229376879"/>
        <c:scaling>
          <c:orientation val="minMax"/>
        </c:scaling>
        <c:delete val="0"/>
        <c:axPos val="l"/>
        <c:title>
          <c:tx>
            <c:rich>
              <a:bodyPr rot="-5400000" spcFirstLastPara="0" vertOverflow="ellipsis" vert="horz" wrap="square" anchor="ctr" anchorCtr="1"/>
              <a:lstStyle/>
              <a:p>
                <a:pPr>
                  <a:defRPr lang="ru-RU" sz="1000" b="1" i="0" u="none" strike="noStrike" kern="1200" baseline="0">
                    <a:solidFill>
                      <a:schemeClr val="tx1"/>
                    </a:solidFill>
                    <a:latin typeface="+mn-lt"/>
                    <a:ea typeface="+mn-ea"/>
                    <a:cs typeface="+mn-cs"/>
                  </a:defRPr>
                </a:pPr>
                <a:r>
                  <a:rPr lang="ru-RU"/>
                  <a:t>Прибыль, млн руб., </a:t>
                </a:r>
                <a:r>
                  <a:rPr lang="en-US"/>
                  <a:t>Y</a:t>
                </a:r>
                <a:endParaRPr lang="en-US"/>
              </a:p>
            </c:rich>
          </c:tx>
          <c:layout/>
          <c:overlay val="0"/>
        </c:title>
        <c:numFmt formatCode="General" sourceLinked="1"/>
        <c:majorTickMark val="out"/>
        <c:minorTickMark val="none"/>
        <c:tickLblPos val="nextTo"/>
        <c:txPr>
          <a:bodyPr rot="-60000000" spcFirstLastPara="0" vertOverflow="ellipsis" vert="horz" wrap="square" anchor="ctr" anchorCtr="1"/>
          <a:lstStyle/>
          <a:p>
            <a:pPr>
              <a:defRPr lang="ru-RU" sz="1000" b="0" i="0" u="none" strike="noStrike" kern="1200" baseline="0">
                <a:solidFill>
                  <a:schemeClr val="tx1"/>
                </a:solidFill>
                <a:latin typeface="+mn-lt"/>
                <a:ea typeface="+mn-ea"/>
                <a:cs typeface="+mn-cs"/>
              </a:defRPr>
            </a:pPr>
          </a:p>
        </c:txPr>
        <c:crossAx val="1229885071"/>
        <c:crosses val="autoZero"/>
        <c:crossBetween val="midCat"/>
      </c:valAx>
    </c:plotArea>
    <c:legend>
      <c:legendPos val="r"/>
      <c:layout/>
      <c:overlay val="0"/>
      <c:txPr>
        <a:bodyPr rot="0" spcFirstLastPara="0" vertOverflow="ellipsis" vert="horz" wrap="square" anchor="ctr" anchorCtr="1"/>
        <a:lstStyle/>
        <a:p>
          <a:pPr>
            <a:defRPr lang="ru-RU" sz="1000" b="0" i="0" u="none" strike="noStrike" kern="1200" baseline="0">
              <a:solidFill>
                <a:schemeClr val="tx1"/>
              </a:solidFill>
              <a:latin typeface="+mn-lt"/>
              <a:ea typeface="+mn-ea"/>
              <a:cs typeface="+mn-cs"/>
            </a:defRPr>
          </a:pPr>
        </a:p>
      </c:txPr>
    </c:legend>
    <c:plotVisOnly val="1"/>
    <c:dispBlanksAs val="gap"/>
    <c:showDLblsOverMax val="0"/>
    <c:extLst>
      <c:ext uri="{0b15fc19-7d7d-44ad-8c2d-2c3a37ce22c3}">
        <chartProps xmlns="https://web.wps.cn/et/2018/main" chartId="{3523f4a1-469e-4d16-8bde-28b3e009ea2f}"/>
      </c:ext>
    </c:extLst>
  </c:chart>
  <c:txPr>
    <a:bodyPr/>
    <a:lstStyle/>
    <a:p>
      <a:pPr>
        <a:defRPr lang="ru-RU"/>
      </a:pPr>
    </a:p>
  </c:txPr>
  <c:printSettings>
    <c:headerFooter/>
    <c:pageMargins b="0.75" l="0.7" r="0.7" t="0.75" header="0.3" footer="0.3"/>
    <c:pageSetup/>
  </c:printSettings>
</c:chartSpace>
</file>

<file path=xl/charts/chart23.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0" vertOverflow="ellipsis" vert="horz" wrap="square" anchor="ctr" anchorCtr="1"/>
          <a:lstStyle/>
          <a:p>
            <a:pPr>
              <a:defRPr lang="ru-RU" sz="1800" b="1" i="0" u="none" strike="noStrike" kern="1200" baseline="0">
                <a:solidFill>
                  <a:schemeClr val="tx1"/>
                </a:solidFill>
                <a:latin typeface="+mn-lt"/>
                <a:ea typeface="+mn-ea"/>
                <a:cs typeface="+mn-cs"/>
              </a:defRPr>
            </a:pPr>
            <a:r>
              <a:rPr lang="ru-RU"/>
              <a:t>Среднесписочная численность работников, чел., </a:t>
            </a:r>
            <a:r>
              <a:rPr lang="en-US"/>
              <a:t>X2 </a:t>
            </a:r>
            <a:r>
              <a:rPr lang="ru-RU"/>
              <a:t>График подбора</a:t>
            </a:r>
            <a:endParaRPr lang="ru-RU"/>
          </a:p>
        </c:rich>
      </c:tx>
      <c:layout/>
      <c:overlay val="0"/>
    </c:title>
    <c:autoTitleDeleted val="0"/>
    <c:plotArea>
      <c:layout/>
      <c:scatterChart>
        <c:scatterStyle val="marker"/>
        <c:varyColors val="0"/>
        <c:ser>
          <c:idx val="0"/>
          <c:order val="0"/>
          <c:tx>
            <c:strRef>
              <c:f>"Прибыль, млн руб., Y"</c:f>
              <c:strCache>
                <c:ptCount val="1"/>
                <c:pt idx="0">
                  <c:v>Прибыль, млн руб., Y</c:v>
                </c:pt>
              </c:strCache>
            </c:strRef>
          </c:tx>
          <c:spPr>
            <a:ln w="19050" cap="rnd" cmpd="sng" algn="ctr">
              <a:noFill/>
              <a:prstDash val="solid"/>
              <a:round/>
            </a:ln>
          </c:spPr>
          <c:dLbls>
            <c:delete val="1"/>
          </c:dLbls>
          <c:xVal>
            <c:numRef>
              <c:f>'Исходные данные 3'!$D$2:$D$31</c:f>
              <c:numCache>
                <c:formatCode>General</c:formatCode>
                <c:ptCount val="30"/>
                <c:pt idx="0">
                  <c:v>500</c:v>
                </c:pt>
                <c:pt idx="1">
                  <c:v>510</c:v>
                </c:pt>
                <c:pt idx="2">
                  <c:v>509</c:v>
                </c:pt>
                <c:pt idx="3">
                  <c:v>515</c:v>
                </c:pt>
                <c:pt idx="4">
                  <c:v>520</c:v>
                </c:pt>
                <c:pt idx="5">
                  <c:v>519</c:v>
                </c:pt>
                <c:pt idx="6">
                  <c:v>525</c:v>
                </c:pt>
                <c:pt idx="7">
                  <c:v>526</c:v>
                </c:pt>
                <c:pt idx="8">
                  <c:v>530</c:v>
                </c:pt>
                <c:pt idx="9">
                  <c:v>550</c:v>
                </c:pt>
                <c:pt idx="10">
                  <c:v>570</c:v>
                </c:pt>
                <c:pt idx="11">
                  <c:v>560</c:v>
                </c:pt>
                <c:pt idx="12">
                  <c:v>555</c:v>
                </c:pt>
                <c:pt idx="13">
                  <c:v>555</c:v>
                </c:pt>
                <c:pt idx="14">
                  <c:v>560</c:v>
                </c:pt>
                <c:pt idx="15">
                  <c:v>560</c:v>
                </c:pt>
                <c:pt idx="16">
                  <c:v>562</c:v>
                </c:pt>
                <c:pt idx="17">
                  <c:v>580</c:v>
                </c:pt>
                <c:pt idx="18">
                  <c:v>581</c:v>
                </c:pt>
                <c:pt idx="19">
                  <c:v>582</c:v>
                </c:pt>
                <c:pt idx="20">
                  <c:v>585</c:v>
                </c:pt>
                <c:pt idx="21">
                  <c:v>590</c:v>
                </c:pt>
                <c:pt idx="22">
                  <c:v>601</c:v>
                </c:pt>
                <c:pt idx="23">
                  <c:v>612</c:v>
                </c:pt>
                <c:pt idx="24">
                  <c:v>610</c:v>
                </c:pt>
                <c:pt idx="25">
                  <c:v>611</c:v>
                </c:pt>
                <c:pt idx="26">
                  <c:v>615</c:v>
                </c:pt>
                <c:pt idx="27">
                  <c:v>620</c:v>
                </c:pt>
                <c:pt idx="28">
                  <c:v>621</c:v>
                </c:pt>
                <c:pt idx="29">
                  <c:v>622</c:v>
                </c:pt>
              </c:numCache>
            </c:numRef>
          </c:xVal>
          <c:yVal>
            <c:numRef>
              <c:f>'Исходные данные 3'!$B$2:$B$31</c:f>
              <c:numCache>
                <c:formatCode>General</c:formatCode>
                <c:ptCount val="30"/>
                <c:pt idx="0">
                  <c:v>335</c:v>
                </c:pt>
                <c:pt idx="1">
                  <c:v>336</c:v>
                </c:pt>
                <c:pt idx="2">
                  <c:v>388</c:v>
                </c:pt>
                <c:pt idx="3">
                  <c:v>420</c:v>
                </c:pt>
                <c:pt idx="4">
                  <c:v>450</c:v>
                </c:pt>
                <c:pt idx="5">
                  <c:v>450</c:v>
                </c:pt>
                <c:pt idx="6">
                  <c:v>500</c:v>
                </c:pt>
                <c:pt idx="7">
                  <c:v>520</c:v>
                </c:pt>
                <c:pt idx="8">
                  <c:v>550</c:v>
                </c:pt>
                <c:pt idx="9">
                  <c:v>600</c:v>
                </c:pt>
                <c:pt idx="10">
                  <c:v>605</c:v>
                </c:pt>
                <c:pt idx="11">
                  <c:v>620</c:v>
                </c:pt>
                <c:pt idx="12">
                  <c:v>630</c:v>
                </c:pt>
                <c:pt idx="13">
                  <c:v>655</c:v>
                </c:pt>
                <c:pt idx="14">
                  <c:v>690</c:v>
                </c:pt>
                <c:pt idx="15">
                  <c:v>690</c:v>
                </c:pt>
                <c:pt idx="16">
                  <c:v>710</c:v>
                </c:pt>
                <c:pt idx="17">
                  <c:v>720</c:v>
                </c:pt>
                <c:pt idx="18">
                  <c:v>745</c:v>
                </c:pt>
                <c:pt idx="19">
                  <c:v>760</c:v>
                </c:pt>
                <c:pt idx="20">
                  <c:v>780</c:v>
                </c:pt>
                <c:pt idx="21">
                  <c:v>840</c:v>
                </c:pt>
                <c:pt idx="22">
                  <c:v>845</c:v>
                </c:pt>
                <c:pt idx="23">
                  <c:v>850</c:v>
                </c:pt>
                <c:pt idx="24">
                  <c:v>860</c:v>
                </c:pt>
                <c:pt idx="25">
                  <c:v>890</c:v>
                </c:pt>
                <c:pt idx="26">
                  <c:v>940</c:v>
                </c:pt>
                <c:pt idx="27">
                  <c:v>960</c:v>
                </c:pt>
                <c:pt idx="28">
                  <c:v>980</c:v>
                </c:pt>
                <c:pt idx="29">
                  <c:v>990</c:v>
                </c:pt>
              </c:numCache>
            </c:numRef>
          </c:yVal>
          <c:smooth val="0"/>
        </c:ser>
        <c:ser>
          <c:idx val="1"/>
          <c:order val="1"/>
          <c:tx>
            <c:strRef>
              <c:f>"Предсказанное Прибыль, млн руб., Y"</c:f>
              <c:strCache>
                <c:ptCount val="1"/>
                <c:pt idx="0">
                  <c:v>Предсказанное Прибыль, млн руб., Y</c:v>
                </c:pt>
              </c:strCache>
            </c:strRef>
          </c:tx>
          <c:spPr>
            <a:ln w="19050" cap="rnd" cmpd="sng" algn="ctr">
              <a:noFill/>
              <a:prstDash val="solid"/>
              <a:round/>
            </a:ln>
          </c:spPr>
          <c:dLbls>
            <c:delete val="1"/>
          </c:dLbls>
          <c:xVal>
            <c:numRef>
              <c:f>'Исходные данные 3'!$D$2:$D$31</c:f>
              <c:numCache>
                <c:formatCode>General</c:formatCode>
                <c:ptCount val="30"/>
                <c:pt idx="0">
                  <c:v>500</c:v>
                </c:pt>
                <c:pt idx="1">
                  <c:v>510</c:v>
                </c:pt>
                <c:pt idx="2">
                  <c:v>509</c:v>
                </c:pt>
                <c:pt idx="3">
                  <c:v>515</c:v>
                </c:pt>
                <c:pt idx="4">
                  <c:v>520</c:v>
                </c:pt>
                <c:pt idx="5">
                  <c:v>519</c:v>
                </c:pt>
                <c:pt idx="6">
                  <c:v>525</c:v>
                </c:pt>
                <c:pt idx="7">
                  <c:v>526</c:v>
                </c:pt>
                <c:pt idx="8">
                  <c:v>530</c:v>
                </c:pt>
                <c:pt idx="9">
                  <c:v>550</c:v>
                </c:pt>
                <c:pt idx="10">
                  <c:v>570</c:v>
                </c:pt>
                <c:pt idx="11">
                  <c:v>560</c:v>
                </c:pt>
                <c:pt idx="12">
                  <c:v>555</c:v>
                </c:pt>
                <c:pt idx="13">
                  <c:v>555</c:v>
                </c:pt>
                <c:pt idx="14">
                  <c:v>560</c:v>
                </c:pt>
                <c:pt idx="15">
                  <c:v>560</c:v>
                </c:pt>
                <c:pt idx="16">
                  <c:v>562</c:v>
                </c:pt>
                <c:pt idx="17">
                  <c:v>580</c:v>
                </c:pt>
                <c:pt idx="18">
                  <c:v>581</c:v>
                </c:pt>
                <c:pt idx="19">
                  <c:v>582</c:v>
                </c:pt>
                <c:pt idx="20">
                  <c:v>585</c:v>
                </c:pt>
                <c:pt idx="21">
                  <c:v>590</c:v>
                </c:pt>
                <c:pt idx="22">
                  <c:v>601</c:v>
                </c:pt>
                <c:pt idx="23">
                  <c:v>612</c:v>
                </c:pt>
                <c:pt idx="24">
                  <c:v>610</c:v>
                </c:pt>
                <c:pt idx="25">
                  <c:v>611</c:v>
                </c:pt>
                <c:pt idx="26">
                  <c:v>615</c:v>
                </c:pt>
                <c:pt idx="27">
                  <c:v>620</c:v>
                </c:pt>
                <c:pt idx="28">
                  <c:v>621</c:v>
                </c:pt>
                <c:pt idx="29">
                  <c:v>622</c:v>
                </c:pt>
              </c:numCache>
            </c:numRef>
          </c:xVal>
          <c:yVal>
            <c:numRef>
              <c:f>'Анализ данных 3'!$B$30:$B$59</c:f>
              <c:numCache>
                <c:formatCode>General</c:formatCode>
                <c:ptCount val="30"/>
                <c:pt idx="0">
                  <c:v>367.529046659562</c:v>
                </c:pt>
                <c:pt idx="1">
                  <c:v>397.760013186024</c:v>
                </c:pt>
                <c:pt idx="2">
                  <c:v>399.718325730829</c:v>
                </c:pt>
                <c:pt idx="3">
                  <c:v>424.966356448354</c:v>
                </c:pt>
                <c:pt idx="4">
                  <c:v>453.092545094373</c:v>
                </c:pt>
                <c:pt idx="5">
                  <c:v>441.262090588907</c:v>
                </c:pt>
                <c:pt idx="6">
                  <c:v>484.558878699072</c:v>
                </c:pt>
                <c:pt idx="7">
                  <c:v>489.397225749423</c:v>
                </c:pt>
                <c:pt idx="8">
                  <c:v>497.912844635571</c:v>
                </c:pt>
                <c:pt idx="9">
                  <c:v>574.770840694327</c:v>
                </c:pt>
                <c:pt idx="10">
                  <c:v>656.520452559759</c:v>
                </c:pt>
                <c:pt idx="11">
                  <c:v>619.172955142222</c:v>
                </c:pt>
                <c:pt idx="12">
                  <c:v>633.697739831152</c:v>
                </c:pt>
                <c:pt idx="13">
                  <c:v>631.317952756566</c:v>
                </c:pt>
                <c:pt idx="14">
                  <c:v>671.368128526613</c:v>
                </c:pt>
                <c:pt idx="15">
                  <c:v>666.431943175784</c:v>
                </c:pt>
                <c:pt idx="16">
                  <c:v>691.779464095678</c:v>
                </c:pt>
                <c:pt idx="17">
                  <c:v>770.598570560822</c:v>
                </c:pt>
                <c:pt idx="18">
                  <c:v>760.245819729521</c:v>
                </c:pt>
                <c:pt idx="19">
                  <c:v>748.203574887047</c:v>
                </c:pt>
                <c:pt idx="20">
                  <c:v>775.760683468675</c:v>
                </c:pt>
                <c:pt idx="21">
                  <c:v>796.259963342552</c:v>
                </c:pt>
                <c:pt idx="22">
                  <c:v>840.460572570408</c:v>
                </c:pt>
                <c:pt idx="23">
                  <c:v>886.173816468584</c:v>
                </c:pt>
                <c:pt idx="24">
                  <c:v>883.558808179175</c:v>
                </c:pt>
                <c:pt idx="25">
                  <c:v>915.477521843046</c:v>
                </c:pt>
                <c:pt idx="26">
                  <c:v>915.541249917251</c:v>
                </c:pt>
                <c:pt idx="27">
                  <c:v>922.178232166138</c:v>
                </c:pt>
                <c:pt idx="28">
                  <c:v>983.951839956605</c:v>
                </c:pt>
                <c:pt idx="29">
                  <c:v>1009.33254333595</c:v>
                </c:pt>
              </c:numCache>
            </c:numRef>
          </c:yVal>
          <c:smooth val="0"/>
        </c:ser>
        <c:dLbls>
          <c:showLegendKey val="0"/>
          <c:showVal val="0"/>
          <c:showCatName val="0"/>
          <c:showSerName val="0"/>
          <c:showPercent val="0"/>
          <c:showBubbleSize val="0"/>
        </c:dLbls>
        <c:axId val="1229893071"/>
        <c:axId val="1229381455"/>
      </c:scatterChart>
      <c:valAx>
        <c:axId val="1229893071"/>
        <c:scaling>
          <c:orientation val="minMax"/>
        </c:scaling>
        <c:delete val="0"/>
        <c:axPos val="b"/>
        <c:title>
          <c:tx>
            <c:rich>
              <a:bodyPr rot="0" spcFirstLastPara="0" vertOverflow="ellipsis" vert="horz" wrap="square" anchor="ctr" anchorCtr="1"/>
              <a:lstStyle/>
              <a:p>
                <a:pPr>
                  <a:defRPr lang="ru-RU" sz="1000" b="1" i="0" u="none" strike="noStrike" kern="1200" baseline="0">
                    <a:solidFill>
                      <a:schemeClr val="tx1"/>
                    </a:solidFill>
                    <a:latin typeface="+mn-lt"/>
                    <a:ea typeface="+mn-ea"/>
                    <a:cs typeface="+mn-cs"/>
                  </a:defRPr>
                </a:pPr>
                <a:r>
                  <a:rPr lang="ru-RU"/>
                  <a:t>Среднесписочная численность работников, чел., </a:t>
                </a:r>
                <a:r>
                  <a:rPr lang="en-US"/>
                  <a:t>X2</a:t>
                </a:r>
                <a:endParaRPr lang="en-US"/>
              </a:p>
            </c:rich>
          </c:tx>
          <c:layout/>
          <c:overlay val="0"/>
        </c:title>
        <c:numFmt formatCode="General" sourceLinked="1"/>
        <c:majorTickMark val="out"/>
        <c:minorTickMark val="none"/>
        <c:tickLblPos val="nextTo"/>
        <c:txPr>
          <a:bodyPr rot="-60000000" spcFirstLastPara="0" vertOverflow="ellipsis" vert="horz" wrap="square" anchor="ctr" anchorCtr="1"/>
          <a:lstStyle/>
          <a:p>
            <a:pPr>
              <a:defRPr lang="ru-RU" sz="1000" b="0" i="0" u="none" strike="noStrike" kern="1200" baseline="0">
                <a:solidFill>
                  <a:schemeClr val="tx1"/>
                </a:solidFill>
                <a:latin typeface="+mn-lt"/>
                <a:ea typeface="+mn-ea"/>
                <a:cs typeface="+mn-cs"/>
              </a:defRPr>
            </a:pPr>
          </a:p>
        </c:txPr>
        <c:crossAx val="1229381455"/>
        <c:crosses val="autoZero"/>
        <c:crossBetween val="midCat"/>
      </c:valAx>
      <c:valAx>
        <c:axId val="1229381455"/>
        <c:scaling>
          <c:orientation val="minMax"/>
        </c:scaling>
        <c:delete val="0"/>
        <c:axPos val="l"/>
        <c:title>
          <c:tx>
            <c:rich>
              <a:bodyPr rot="-5400000" spcFirstLastPara="0" vertOverflow="ellipsis" vert="horz" wrap="square" anchor="ctr" anchorCtr="1"/>
              <a:lstStyle/>
              <a:p>
                <a:pPr>
                  <a:defRPr lang="ru-RU" sz="1000" b="1" i="0" u="none" strike="noStrike" kern="1200" baseline="0">
                    <a:solidFill>
                      <a:schemeClr val="tx1"/>
                    </a:solidFill>
                    <a:latin typeface="+mn-lt"/>
                    <a:ea typeface="+mn-ea"/>
                    <a:cs typeface="+mn-cs"/>
                  </a:defRPr>
                </a:pPr>
                <a:r>
                  <a:rPr lang="ru-RU"/>
                  <a:t>Прибыль, млн руб., </a:t>
                </a:r>
                <a:r>
                  <a:rPr lang="en-US"/>
                  <a:t>Y</a:t>
                </a:r>
                <a:endParaRPr lang="en-US"/>
              </a:p>
            </c:rich>
          </c:tx>
          <c:layout/>
          <c:overlay val="0"/>
        </c:title>
        <c:numFmt formatCode="General" sourceLinked="1"/>
        <c:majorTickMark val="out"/>
        <c:minorTickMark val="none"/>
        <c:tickLblPos val="nextTo"/>
        <c:txPr>
          <a:bodyPr rot="-60000000" spcFirstLastPara="0" vertOverflow="ellipsis" vert="horz" wrap="square" anchor="ctr" anchorCtr="1"/>
          <a:lstStyle/>
          <a:p>
            <a:pPr>
              <a:defRPr lang="ru-RU" sz="1000" b="0" i="0" u="none" strike="noStrike" kern="1200" baseline="0">
                <a:solidFill>
                  <a:schemeClr val="tx1"/>
                </a:solidFill>
                <a:latin typeface="+mn-lt"/>
                <a:ea typeface="+mn-ea"/>
                <a:cs typeface="+mn-cs"/>
              </a:defRPr>
            </a:pPr>
          </a:p>
        </c:txPr>
        <c:crossAx val="1229893071"/>
        <c:crosses val="autoZero"/>
        <c:crossBetween val="midCat"/>
      </c:valAx>
    </c:plotArea>
    <c:legend>
      <c:legendPos val="r"/>
      <c:layout/>
      <c:overlay val="0"/>
      <c:txPr>
        <a:bodyPr rot="0" spcFirstLastPara="0" vertOverflow="ellipsis" vert="horz" wrap="square" anchor="ctr" anchorCtr="1"/>
        <a:lstStyle/>
        <a:p>
          <a:pPr>
            <a:defRPr lang="ru-RU" sz="1000" b="0" i="0" u="none" strike="noStrike" kern="1200" baseline="0">
              <a:solidFill>
                <a:schemeClr val="tx1"/>
              </a:solidFill>
              <a:latin typeface="+mn-lt"/>
              <a:ea typeface="+mn-ea"/>
              <a:cs typeface="+mn-cs"/>
            </a:defRPr>
          </a:pPr>
        </a:p>
      </c:txPr>
    </c:legend>
    <c:plotVisOnly val="1"/>
    <c:dispBlanksAs val="gap"/>
    <c:showDLblsOverMax val="0"/>
    <c:extLst>
      <c:ext uri="{0b15fc19-7d7d-44ad-8c2d-2c3a37ce22c3}">
        <chartProps xmlns="https://web.wps.cn/et/2018/main" chartId="{fa26586c-843a-4dc9-b500-7b8243335a88}"/>
      </c:ext>
    </c:extLst>
  </c:chart>
  <c:txPr>
    <a:bodyPr/>
    <a:lstStyle/>
    <a:p>
      <a:pPr>
        <a:defRPr lang="ru-RU"/>
      </a:pPr>
    </a:p>
  </c:txPr>
  <c:printSettings>
    <c:headerFooter/>
    <c:pageMargins b="0.75" l="0.7" r="0.7" t="0.75" header="0.3" footer="0.3"/>
    <c:pageSetup/>
  </c:printSettings>
</c:chartSpace>
</file>

<file path=xl/charts/chart24.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0" vertOverflow="ellipsis" vert="horz" wrap="square" anchor="ctr" anchorCtr="1"/>
          <a:lstStyle/>
          <a:p>
            <a:pPr>
              <a:defRPr lang="ru-RU" sz="1800" b="1" i="0" u="none" strike="noStrike" kern="1200" baseline="0">
                <a:solidFill>
                  <a:schemeClr val="tx1"/>
                </a:solidFill>
                <a:latin typeface="+mn-lt"/>
                <a:ea typeface="+mn-ea"/>
                <a:cs typeface="+mn-cs"/>
              </a:defRPr>
            </a:pPr>
            <a:r>
              <a:rPr lang="ru-RU"/>
              <a:t>Стоимость основных производственных фондов, млн руб., </a:t>
            </a:r>
            <a:r>
              <a:rPr lang="en-US"/>
              <a:t>X3 </a:t>
            </a:r>
            <a:r>
              <a:rPr lang="ru-RU"/>
              <a:t>График подбора</a:t>
            </a:r>
            <a:endParaRPr lang="ru-RU"/>
          </a:p>
        </c:rich>
      </c:tx>
      <c:layout/>
      <c:overlay val="0"/>
    </c:title>
    <c:autoTitleDeleted val="0"/>
    <c:plotArea>
      <c:layout/>
      <c:scatterChart>
        <c:scatterStyle val="marker"/>
        <c:varyColors val="0"/>
        <c:ser>
          <c:idx val="0"/>
          <c:order val="0"/>
          <c:tx>
            <c:strRef>
              <c:f>"Прибыль, млн руб., Y"</c:f>
              <c:strCache>
                <c:ptCount val="1"/>
                <c:pt idx="0">
                  <c:v>Прибыль, млн руб., Y</c:v>
                </c:pt>
              </c:strCache>
            </c:strRef>
          </c:tx>
          <c:spPr>
            <a:ln w="19050" cap="rnd" cmpd="sng" algn="ctr">
              <a:noFill/>
              <a:prstDash val="solid"/>
              <a:round/>
            </a:ln>
          </c:spPr>
          <c:dLbls>
            <c:delete val="1"/>
          </c:dLbls>
          <c:xVal>
            <c:numRef>
              <c:f>'Исходные данные 3'!$E$2:$E$31</c:f>
              <c:numCache>
                <c:formatCode>General</c:formatCode>
                <c:ptCount val="30"/>
                <c:pt idx="0">
                  <c:v>1340</c:v>
                </c:pt>
                <c:pt idx="1">
                  <c:v>1560</c:v>
                </c:pt>
                <c:pt idx="2">
                  <c:v>1590</c:v>
                </c:pt>
                <c:pt idx="3">
                  <c:v>1680</c:v>
                </c:pt>
                <c:pt idx="4">
                  <c:v>1450</c:v>
                </c:pt>
                <c:pt idx="5">
                  <c:v>1600</c:v>
                </c:pt>
                <c:pt idx="6">
                  <c:v>1200</c:v>
                </c:pt>
                <c:pt idx="7">
                  <c:v>1280</c:v>
                </c:pt>
                <c:pt idx="8">
                  <c:v>1560</c:v>
                </c:pt>
                <c:pt idx="9">
                  <c:v>1680</c:v>
                </c:pt>
                <c:pt idx="10">
                  <c:v>1780</c:v>
                </c:pt>
                <c:pt idx="11">
                  <c:v>1890</c:v>
                </c:pt>
                <c:pt idx="12">
                  <c:v>1580</c:v>
                </c:pt>
                <c:pt idx="13">
                  <c:v>1760</c:v>
                </c:pt>
                <c:pt idx="14">
                  <c:v>1340</c:v>
                </c:pt>
                <c:pt idx="15">
                  <c:v>1670</c:v>
                </c:pt>
                <c:pt idx="16">
                  <c:v>1350</c:v>
                </c:pt>
                <c:pt idx="17">
                  <c:v>1240</c:v>
                </c:pt>
                <c:pt idx="18">
                  <c:v>1450</c:v>
                </c:pt>
                <c:pt idx="19">
                  <c:v>1670</c:v>
                </c:pt>
                <c:pt idx="20">
                  <c:v>1280</c:v>
                </c:pt>
                <c:pt idx="21">
                  <c:v>1340</c:v>
                </c:pt>
                <c:pt idx="22">
                  <c:v>1450</c:v>
                </c:pt>
                <c:pt idx="23">
                  <c:v>1450</c:v>
                </c:pt>
                <c:pt idx="24">
                  <c:v>1670</c:v>
                </c:pt>
                <c:pt idx="25">
                  <c:v>1330</c:v>
                </c:pt>
                <c:pt idx="26">
                  <c:v>1560</c:v>
                </c:pt>
                <c:pt idx="27">
                  <c:v>1760</c:v>
                </c:pt>
                <c:pt idx="28">
                  <c:v>1650</c:v>
                </c:pt>
                <c:pt idx="29">
                  <c:v>1890</c:v>
                </c:pt>
              </c:numCache>
            </c:numRef>
          </c:xVal>
          <c:yVal>
            <c:numRef>
              <c:f>'Исходные данные 3'!$B$2:$B$31</c:f>
              <c:numCache>
                <c:formatCode>General</c:formatCode>
                <c:ptCount val="30"/>
                <c:pt idx="0">
                  <c:v>335</c:v>
                </c:pt>
                <c:pt idx="1">
                  <c:v>336</c:v>
                </c:pt>
                <c:pt idx="2">
                  <c:v>388</c:v>
                </c:pt>
                <c:pt idx="3">
                  <c:v>420</c:v>
                </c:pt>
                <c:pt idx="4">
                  <c:v>450</c:v>
                </c:pt>
                <c:pt idx="5">
                  <c:v>450</c:v>
                </c:pt>
                <c:pt idx="6">
                  <c:v>500</c:v>
                </c:pt>
                <c:pt idx="7">
                  <c:v>520</c:v>
                </c:pt>
                <c:pt idx="8">
                  <c:v>550</c:v>
                </c:pt>
                <c:pt idx="9">
                  <c:v>600</c:v>
                </c:pt>
                <c:pt idx="10">
                  <c:v>605</c:v>
                </c:pt>
                <c:pt idx="11">
                  <c:v>620</c:v>
                </c:pt>
                <c:pt idx="12">
                  <c:v>630</c:v>
                </c:pt>
                <c:pt idx="13">
                  <c:v>655</c:v>
                </c:pt>
                <c:pt idx="14">
                  <c:v>690</c:v>
                </c:pt>
                <c:pt idx="15">
                  <c:v>690</c:v>
                </c:pt>
                <c:pt idx="16">
                  <c:v>710</c:v>
                </c:pt>
                <c:pt idx="17">
                  <c:v>720</c:v>
                </c:pt>
                <c:pt idx="18">
                  <c:v>745</c:v>
                </c:pt>
                <c:pt idx="19">
                  <c:v>760</c:v>
                </c:pt>
                <c:pt idx="20">
                  <c:v>780</c:v>
                </c:pt>
                <c:pt idx="21">
                  <c:v>840</c:v>
                </c:pt>
                <c:pt idx="22">
                  <c:v>845</c:v>
                </c:pt>
                <c:pt idx="23">
                  <c:v>850</c:v>
                </c:pt>
                <c:pt idx="24">
                  <c:v>860</c:v>
                </c:pt>
                <c:pt idx="25">
                  <c:v>890</c:v>
                </c:pt>
                <c:pt idx="26">
                  <c:v>940</c:v>
                </c:pt>
                <c:pt idx="27">
                  <c:v>960</c:v>
                </c:pt>
                <c:pt idx="28">
                  <c:v>980</c:v>
                </c:pt>
                <c:pt idx="29">
                  <c:v>990</c:v>
                </c:pt>
              </c:numCache>
            </c:numRef>
          </c:yVal>
          <c:smooth val="0"/>
        </c:ser>
        <c:ser>
          <c:idx val="1"/>
          <c:order val="1"/>
          <c:tx>
            <c:strRef>
              <c:f>"Предсказанное Прибыль, млн руб., Y"</c:f>
              <c:strCache>
                <c:ptCount val="1"/>
                <c:pt idx="0">
                  <c:v>Предсказанное Прибыль, млн руб., Y</c:v>
                </c:pt>
              </c:strCache>
            </c:strRef>
          </c:tx>
          <c:spPr>
            <a:ln w="19050" cap="rnd" cmpd="sng" algn="ctr">
              <a:noFill/>
              <a:prstDash val="solid"/>
              <a:round/>
            </a:ln>
          </c:spPr>
          <c:dLbls>
            <c:delete val="1"/>
          </c:dLbls>
          <c:xVal>
            <c:numRef>
              <c:f>'Исходные данные 3'!$E$2:$E$31</c:f>
              <c:numCache>
                <c:formatCode>General</c:formatCode>
                <c:ptCount val="30"/>
                <c:pt idx="0">
                  <c:v>1340</c:v>
                </c:pt>
                <c:pt idx="1">
                  <c:v>1560</c:v>
                </c:pt>
                <c:pt idx="2">
                  <c:v>1590</c:v>
                </c:pt>
                <c:pt idx="3">
                  <c:v>1680</c:v>
                </c:pt>
                <c:pt idx="4">
                  <c:v>1450</c:v>
                </c:pt>
                <c:pt idx="5">
                  <c:v>1600</c:v>
                </c:pt>
                <c:pt idx="6">
                  <c:v>1200</c:v>
                </c:pt>
                <c:pt idx="7">
                  <c:v>1280</c:v>
                </c:pt>
                <c:pt idx="8">
                  <c:v>1560</c:v>
                </c:pt>
                <c:pt idx="9">
                  <c:v>1680</c:v>
                </c:pt>
                <c:pt idx="10">
                  <c:v>1780</c:v>
                </c:pt>
                <c:pt idx="11">
                  <c:v>1890</c:v>
                </c:pt>
                <c:pt idx="12">
                  <c:v>1580</c:v>
                </c:pt>
                <c:pt idx="13">
                  <c:v>1760</c:v>
                </c:pt>
                <c:pt idx="14">
                  <c:v>1340</c:v>
                </c:pt>
                <c:pt idx="15">
                  <c:v>1670</c:v>
                </c:pt>
                <c:pt idx="16">
                  <c:v>1350</c:v>
                </c:pt>
                <c:pt idx="17">
                  <c:v>1240</c:v>
                </c:pt>
                <c:pt idx="18">
                  <c:v>1450</c:v>
                </c:pt>
                <c:pt idx="19">
                  <c:v>1670</c:v>
                </c:pt>
                <c:pt idx="20">
                  <c:v>1280</c:v>
                </c:pt>
                <c:pt idx="21">
                  <c:v>1340</c:v>
                </c:pt>
                <c:pt idx="22">
                  <c:v>1450</c:v>
                </c:pt>
                <c:pt idx="23">
                  <c:v>1450</c:v>
                </c:pt>
                <c:pt idx="24">
                  <c:v>1670</c:v>
                </c:pt>
                <c:pt idx="25">
                  <c:v>1330</c:v>
                </c:pt>
                <c:pt idx="26">
                  <c:v>1560</c:v>
                </c:pt>
                <c:pt idx="27">
                  <c:v>1760</c:v>
                </c:pt>
                <c:pt idx="28">
                  <c:v>1650</c:v>
                </c:pt>
                <c:pt idx="29">
                  <c:v>1890</c:v>
                </c:pt>
              </c:numCache>
            </c:numRef>
          </c:xVal>
          <c:yVal>
            <c:numRef>
              <c:f>'Анализ данных 3'!$B$30:$B$59</c:f>
              <c:numCache>
                <c:formatCode>General</c:formatCode>
                <c:ptCount val="30"/>
                <c:pt idx="0">
                  <c:v>367.529046659562</c:v>
                </c:pt>
                <c:pt idx="1">
                  <c:v>397.760013186024</c:v>
                </c:pt>
                <c:pt idx="2">
                  <c:v>399.718325730829</c:v>
                </c:pt>
                <c:pt idx="3">
                  <c:v>424.966356448354</c:v>
                </c:pt>
                <c:pt idx="4">
                  <c:v>453.092545094373</c:v>
                </c:pt>
                <c:pt idx="5">
                  <c:v>441.262090588907</c:v>
                </c:pt>
                <c:pt idx="6">
                  <c:v>484.558878699072</c:v>
                </c:pt>
                <c:pt idx="7">
                  <c:v>489.397225749423</c:v>
                </c:pt>
                <c:pt idx="8">
                  <c:v>497.912844635571</c:v>
                </c:pt>
                <c:pt idx="9">
                  <c:v>574.770840694327</c:v>
                </c:pt>
                <c:pt idx="10">
                  <c:v>656.520452559759</c:v>
                </c:pt>
                <c:pt idx="11">
                  <c:v>619.172955142222</c:v>
                </c:pt>
                <c:pt idx="12">
                  <c:v>633.697739831152</c:v>
                </c:pt>
                <c:pt idx="13">
                  <c:v>631.317952756566</c:v>
                </c:pt>
                <c:pt idx="14">
                  <c:v>671.368128526613</c:v>
                </c:pt>
                <c:pt idx="15">
                  <c:v>666.431943175784</c:v>
                </c:pt>
                <c:pt idx="16">
                  <c:v>691.779464095678</c:v>
                </c:pt>
                <c:pt idx="17">
                  <c:v>770.598570560822</c:v>
                </c:pt>
                <c:pt idx="18">
                  <c:v>760.245819729521</c:v>
                </c:pt>
                <c:pt idx="19">
                  <c:v>748.203574887047</c:v>
                </c:pt>
                <c:pt idx="20">
                  <c:v>775.760683468675</c:v>
                </c:pt>
                <c:pt idx="21">
                  <c:v>796.259963342552</c:v>
                </c:pt>
                <c:pt idx="22">
                  <c:v>840.460572570408</c:v>
                </c:pt>
                <c:pt idx="23">
                  <c:v>886.173816468584</c:v>
                </c:pt>
                <c:pt idx="24">
                  <c:v>883.558808179175</c:v>
                </c:pt>
                <c:pt idx="25">
                  <c:v>915.477521843046</c:v>
                </c:pt>
                <c:pt idx="26">
                  <c:v>915.541249917251</c:v>
                </c:pt>
                <c:pt idx="27">
                  <c:v>922.178232166138</c:v>
                </c:pt>
                <c:pt idx="28">
                  <c:v>983.951839956605</c:v>
                </c:pt>
                <c:pt idx="29">
                  <c:v>1009.33254333595</c:v>
                </c:pt>
              </c:numCache>
            </c:numRef>
          </c:yVal>
          <c:smooth val="0"/>
        </c:ser>
        <c:dLbls>
          <c:showLegendKey val="0"/>
          <c:showVal val="0"/>
          <c:showCatName val="0"/>
          <c:showSerName val="0"/>
          <c:showPercent val="0"/>
          <c:showBubbleSize val="0"/>
        </c:dLbls>
        <c:axId val="1229886271"/>
        <c:axId val="1229385199"/>
      </c:scatterChart>
      <c:valAx>
        <c:axId val="1229886271"/>
        <c:scaling>
          <c:orientation val="minMax"/>
        </c:scaling>
        <c:delete val="0"/>
        <c:axPos val="b"/>
        <c:title>
          <c:tx>
            <c:rich>
              <a:bodyPr rot="0" spcFirstLastPara="0" vertOverflow="ellipsis" vert="horz" wrap="square" anchor="ctr" anchorCtr="1"/>
              <a:lstStyle/>
              <a:p>
                <a:pPr>
                  <a:defRPr lang="ru-RU" sz="1000" b="1" i="0" u="none" strike="noStrike" kern="1200" baseline="0">
                    <a:solidFill>
                      <a:schemeClr val="tx1"/>
                    </a:solidFill>
                    <a:latin typeface="+mn-lt"/>
                    <a:ea typeface="+mn-ea"/>
                    <a:cs typeface="+mn-cs"/>
                  </a:defRPr>
                </a:pPr>
                <a:r>
                  <a:rPr lang="ru-RU"/>
                  <a:t>Стоимость основных производственных фондов, млн руб., </a:t>
                </a:r>
                <a:r>
                  <a:rPr lang="en-US"/>
                  <a:t>X3</a:t>
                </a:r>
                <a:endParaRPr lang="en-US"/>
              </a:p>
            </c:rich>
          </c:tx>
          <c:layout/>
          <c:overlay val="0"/>
        </c:title>
        <c:numFmt formatCode="General" sourceLinked="1"/>
        <c:majorTickMark val="out"/>
        <c:minorTickMark val="none"/>
        <c:tickLblPos val="nextTo"/>
        <c:txPr>
          <a:bodyPr rot="-60000000" spcFirstLastPara="0" vertOverflow="ellipsis" vert="horz" wrap="square" anchor="ctr" anchorCtr="1"/>
          <a:lstStyle/>
          <a:p>
            <a:pPr>
              <a:defRPr lang="ru-RU" sz="1000" b="0" i="0" u="none" strike="noStrike" kern="1200" baseline="0">
                <a:solidFill>
                  <a:schemeClr val="tx1"/>
                </a:solidFill>
                <a:latin typeface="+mn-lt"/>
                <a:ea typeface="+mn-ea"/>
                <a:cs typeface="+mn-cs"/>
              </a:defRPr>
            </a:pPr>
          </a:p>
        </c:txPr>
        <c:crossAx val="1229385199"/>
        <c:crosses val="autoZero"/>
        <c:crossBetween val="midCat"/>
      </c:valAx>
      <c:valAx>
        <c:axId val="1229385199"/>
        <c:scaling>
          <c:orientation val="minMax"/>
        </c:scaling>
        <c:delete val="0"/>
        <c:axPos val="l"/>
        <c:title>
          <c:tx>
            <c:rich>
              <a:bodyPr rot="-5400000" spcFirstLastPara="0" vertOverflow="ellipsis" vert="horz" wrap="square" anchor="ctr" anchorCtr="1"/>
              <a:lstStyle/>
              <a:p>
                <a:pPr>
                  <a:defRPr lang="ru-RU" sz="1000" b="1" i="0" u="none" strike="noStrike" kern="1200" baseline="0">
                    <a:solidFill>
                      <a:schemeClr val="tx1"/>
                    </a:solidFill>
                    <a:latin typeface="+mn-lt"/>
                    <a:ea typeface="+mn-ea"/>
                    <a:cs typeface="+mn-cs"/>
                  </a:defRPr>
                </a:pPr>
                <a:r>
                  <a:rPr lang="ru-RU"/>
                  <a:t>Прибыль, млн руб., </a:t>
                </a:r>
                <a:r>
                  <a:rPr lang="en-US"/>
                  <a:t>Y</a:t>
                </a:r>
                <a:endParaRPr lang="en-US"/>
              </a:p>
            </c:rich>
          </c:tx>
          <c:layout/>
          <c:overlay val="0"/>
        </c:title>
        <c:numFmt formatCode="General" sourceLinked="1"/>
        <c:majorTickMark val="out"/>
        <c:minorTickMark val="none"/>
        <c:tickLblPos val="nextTo"/>
        <c:txPr>
          <a:bodyPr rot="-60000000" spcFirstLastPara="0" vertOverflow="ellipsis" vert="horz" wrap="square" anchor="ctr" anchorCtr="1"/>
          <a:lstStyle/>
          <a:p>
            <a:pPr>
              <a:defRPr lang="ru-RU" sz="1000" b="0" i="0" u="none" strike="noStrike" kern="1200" baseline="0">
                <a:solidFill>
                  <a:schemeClr val="tx1"/>
                </a:solidFill>
                <a:latin typeface="+mn-lt"/>
                <a:ea typeface="+mn-ea"/>
                <a:cs typeface="+mn-cs"/>
              </a:defRPr>
            </a:pPr>
          </a:p>
        </c:txPr>
        <c:crossAx val="1229886271"/>
        <c:crosses val="autoZero"/>
        <c:crossBetween val="midCat"/>
      </c:valAx>
    </c:plotArea>
    <c:legend>
      <c:legendPos val="r"/>
      <c:layout/>
      <c:overlay val="0"/>
      <c:txPr>
        <a:bodyPr rot="0" spcFirstLastPara="0" vertOverflow="ellipsis" vert="horz" wrap="square" anchor="ctr" anchorCtr="1"/>
        <a:lstStyle/>
        <a:p>
          <a:pPr>
            <a:defRPr lang="ru-RU" sz="1000" b="0" i="0" u="none" strike="noStrike" kern="1200" baseline="0">
              <a:solidFill>
                <a:schemeClr val="tx1"/>
              </a:solidFill>
              <a:latin typeface="+mn-lt"/>
              <a:ea typeface="+mn-ea"/>
              <a:cs typeface="+mn-cs"/>
            </a:defRPr>
          </a:pPr>
        </a:p>
      </c:txPr>
    </c:legend>
    <c:plotVisOnly val="1"/>
    <c:dispBlanksAs val="gap"/>
    <c:showDLblsOverMax val="0"/>
    <c:extLst>
      <c:ext uri="{0b15fc19-7d7d-44ad-8c2d-2c3a37ce22c3}">
        <chartProps xmlns="https://web.wps.cn/et/2018/main" chartId="{c57774da-861e-478d-af30-083d83468813}"/>
      </c:ext>
    </c:extLst>
  </c:chart>
  <c:txPr>
    <a:bodyPr/>
    <a:lstStyle/>
    <a:p>
      <a:pPr>
        <a:defRPr lang="ru-RU"/>
      </a:pPr>
    </a:p>
  </c:txPr>
  <c:printSettings>
    <c:headerFooter/>
    <c:pageMargins b="0.75" l="0.7" r="0.7" t="0.75" header="0.3" footer="0.3"/>
    <c:pageSetup/>
  </c:printSettings>
</c:chartSpace>
</file>

<file path=xl/charts/chart25.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0" vertOverflow="ellipsis" vert="horz" wrap="square" anchor="ctr" anchorCtr="1"/>
          <a:lstStyle/>
          <a:p>
            <a:pPr>
              <a:defRPr lang="ru-RU" sz="1800" b="1" i="0" u="none" strike="noStrike" kern="1200" baseline="0">
                <a:solidFill>
                  <a:schemeClr val="tx1"/>
                </a:solidFill>
                <a:latin typeface="+mn-lt"/>
                <a:ea typeface="+mn-ea"/>
                <a:cs typeface="+mn-cs"/>
              </a:defRPr>
            </a:pPr>
            <a:r>
              <a:rPr lang="ru-RU"/>
              <a:t>Коммерческие расходы, млн руб., </a:t>
            </a:r>
            <a:r>
              <a:rPr lang="en-US"/>
              <a:t>X6 </a:t>
            </a:r>
            <a:r>
              <a:rPr lang="ru-RU"/>
              <a:t>График подбора</a:t>
            </a:r>
            <a:endParaRPr lang="ru-RU"/>
          </a:p>
        </c:rich>
      </c:tx>
      <c:layout/>
      <c:overlay val="0"/>
    </c:title>
    <c:autoTitleDeleted val="0"/>
    <c:plotArea>
      <c:layout/>
      <c:scatterChart>
        <c:scatterStyle val="marker"/>
        <c:varyColors val="0"/>
        <c:ser>
          <c:idx val="0"/>
          <c:order val="0"/>
          <c:tx>
            <c:strRef>
              <c:f>"Прибыль, млн руб., Y"</c:f>
              <c:strCache>
                <c:ptCount val="1"/>
                <c:pt idx="0">
                  <c:v>Прибыль, млн руб., Y</c:v>
                </c:pt>
              </c:strCache>
            </c:strRef>
          </c:tx>
          <c:spPr>
            <a:ln w="19050" cap="rnd" cmpd="sng" algn="ctr">
              <a:noFill/>
              <a:prstDash val="solid"/>
              <a:round/>
            </a:ln>
          </c:spPr>
          <c:dLbls>
            <c:delete val="1"/>
          </c:dLbls>
          <c:xVal>
            <c:numRef>
              <c:f>'Исходные данные 3'!$F$2:$F$31</c:f>
              <c:numCache>
                <c:formatCode>General</c:formatCode>
                <c:ptCount val="30"/>
                <c:pt idx="0">
                  <c:v>28</c:v>
                </c:pt>
                <c:pt idx="1">
                  <c:v>30</c:v>
                </c:pt>
                <c:pt idx="2">
                  <c:v>25</c:v>
                </c:pt>
                <c:pt idx="3">
                  <c:v>23</c:v>
                </c:pt>
                <c:pt idx="4">
                  <c:v>20</c:v>
                </c:pt>
                <c:pt idx="5">
                  <c:v>22</c:v>
                </c:pt>
                <c:pt idx="6">
                  <c:v>25</c:v>
                </c:pt>
                <c:pt idx="7">
                  <c:v>30</c:v>
                </c:pt>
                <c:pt idx="8">
                  <c:v>40</c:v>
                </c:pt>
                <c:pt idx="9">
                  <c:v>44</c:v>
                </c:pt>
                <c:pt idx="10">
                  <c:v>45</c:v>
                </c:pt>
                <c:pt idx="11">
                  <c:v>47</c:v>
                </c:pt>
                <c:pt idx="12">
                  <c:v>48</c:v>
                </c:pt>
                <c:pt idx="13">
                  <c:v>47</c:v>
                </c:pt>
                <c:pt idx="14">
                  <c:v>46</c:v>
                </c:pt>
                <c:pt idx="15">
                  <c:v>48</c:v>
                </c:pt>
                <c:pt idx="16">
                  <c:v>47</c:v>
                </c:pt>
                <c:pt idx="17">
                  <c:v>48</c:v>
                </c:pt>
                <c:pt idx="18">
                  <c:v>46</c:v>
                </c:pt>
                <c:pt idx="19">
                  <c:v>44</c:v>
                </c:pt>
                <c:pt idx="20">
                  <c:v>48</c:v>
                </c:pt>
                <c:pt idx="21">
                  <c:v>47</c:v>
                </c:pt>
                <c:pt idx="22">
                  <c:v>49</c:v>
                </c:pt>
                <c:pt idx="23">
                  <c:v>52</c:v>
                </c:pt>
                <c:pt idx="24">
                  <c:v>83</c:v>
                </c:pt>
                <c:pt idx="25">
                  <c:v>86</c:v>
                </c:pt>
                <c:pt idx="26">
                  <c:v>81</c:v>
                </c:pt>
                <c:pt idx="27">
                  <c:v>96</c:v>
                </c:pt>
                <c:pt idx="28">
                  <c:v>97</c:v>
                </c:pt>
                <c:pt idx="29">
                  <c:v>105</c:v>
                </c:pt>
              </c:numCache>
            </c:numRef>
          </c:xVal>
          <c:yVal>
            <c:numRef>
              <c:f>'Исходные данные 3'!$B$2:$B$31</c:f>
              <c:numCache>
                <c:formatCode>General</c:formatCode>
                <c:ptCount val="30"/>
                <c:pt idx="0">
                  <c:v>335</c:v>
                </c:pt>
                <c:pt idx="1">
                  <c:v>336</c:v>
                </c:pt>
                <c:pt idx="2">
                  <c:v>388</c:v>
                </c:pt>
                <c:pt idx="3">
                  <c:v>420</c:v>
                </c:pt>
                <c:pt idx="4">
                  <c:v>450</c:v>
                </c:pt>
                <c:pt idx="5">
                  <c:v>450</c:v>
                </c:pt>
                <c:pt idx="6">
                  <c:v>500</c:v>
                </c:pt>
                <c:pt idx="7">
                  <c:v>520</c:v>
                </c:pt>
                <c:pt idx="8">
                  <c:v>550</c:v>
                </c:pt>
                <c:pt idx="9">
                  <c:v>600</c:v>
                </c:pt>
                <c:pt idx="10">
                  <c:v>605</c:v>
                </c:pt>
                <c:pt idx="11">
                  <c:v>620</c:v>
                </c:pt>
                <c:pt idx="12">
                  <c:v>630</c:v>
                </c:pt>
                <c:pt idx="13">
                  <c:v>655</c:v>
                </c:pt>
                <c:pt idx="14">
                  <c:v>690</c:v>
                </c:pt>
                <c:pt idx="15">
                  <c:v>690</c:v>
                </c:pt>
                <c:pt idx="16">
                  <c:v>710</c:v>
                </c:pt>
                <c:pt idx="17">
                  <c:v>720</c:v>
                </c:pt>
                <c:pt idx="18">
                  <c:v>745</c:v>
                </c:pt>
                <c:pt idx="19">
                  <c:v>760</c:v>
                </c:pt>
                <c:pt idx="20">
                  <c:v>780</c:v>
                </c:pt>
                <c:pt idx="21">
                  <c:v>840</c:v>
                </c:pt>
                <c:pt idx="22">
                  <c:v>845</c:v>
                </c:pt>
                <c:pt idx="23">
                  <c:v>850</c:v>
                </c:pt>
                <c:pt idx="24">
                  <c:v>860</c:v>
                </c:pt>
                <c:pt idx="25">
                  <c:v>890</c:v>
                </c:pt>
                <c:pt idx="26">
                  <c:v>940</c:v>
                </c:pt>
                <c:pt idx="27">
                  <c:v>960</c:v>
                </c:pt>
                <c:pt idx="28">
                  <c:v>980</c:v>
                </c:pt>
                <c:pt idx="29">
                  <c:v>990</c:v>
                </c:pt>
              </c:numCache>
            </c:numRef>
          </c:yVal>
          <c:smooth val="0"/>
        </c:ser>
        <c:ser>
          <c:idx val="1"/>
          <c:order val="1"/>
          <c:tx>
            <c:strRef>
              <c:f>"Предсказанное Прибыль, млн руб., Y"</c:f>
              <c:strCache>
                <c:ptCount val="1"/>
                <c:pt idx="0">
                  <c:v>Предсказанное Прибыль, млн руб., Y</c:v>
                </c:pt>
              </c:strCache>
            </c:strRef>
          </c:tx>
          <c:spPr>
            <a:ln w="19050" cap="rnd" cmpd="sng" algn="ctr">
              <a:noFill/>
              <a:prstDash val="solid"/>
              <a:round/>
            </a:ln>
          </c:spPr>
          <c:dLbls>
            <c:delete val="1"/>
          </c:dLbls>
          <c:xVal>
            <c:numRef>
              <c:f>'Исходные данные 3'!$F$2:$F$31</c:f>
              <c:numCache>
                <c:formatCode>General</c:formatCode>
                <c:ptCount val="30"/>
                <c:pt idx="0">
                  <c:v>28</c:v>
                </c:pt>
                <c:pt idx="1">
                  <c:v>30</c:v>
                </c:pt>
                <c:pt idx="2">
                  <c:v>25</c:v>
                </c:pt>
                <c:pt idx="3">
                  <c:v>23</c:v>
                </c:pt>
                <c:pt idx="4">
                  <c:v>20</c:v>
                </c:pt>
                <c:pt idx="5">
                  <c:v>22</c:v>
                </c:pt>
                <c:pt idx="6">
                  <c:v>25</c:v>
                </c:pt>
                <c:pt idx="7">
                  <c:v>30</c:v>
                </c:pt>
                <c:pt idx="8">
                  <c:v>40</c:v>
                </c:pt>
                <c:pt idx="9">
                  <c:v>44</c:v>
                </c:pt>
                <c:pt idx="10">
                  <c:v>45</c:v>
                </c:pt>
                <c:pt idx="11">
                  <c:v>47</c:v>
                </c:pt>
                <c:pt idx="12">
                  <c:v>48</c:v>
                </c:pt>
                <c:pt idx="13">
                  <c:v>47</c:v>
                </c:pt>
                <c:pt idx="14">
                  <c:v>46</c:v>
                </c:pt>
                <c:pt idx="15">
                  <c:v>48</c:v>
                </c:pt>
                <c:pt idx="16">
                  <c:v>47</c:v>
                </c:pt>
                <c:pt idx="17">
                  <c:v>48</c:v>
                </c:pt>
                <c:pt idx="18">
                  <c:v>46</c:v>
                </c:pt>
                <c:pt idx="19">
                  <c:v>44</c:v>
                </c:pt>
                <c:pt idx="20">
                  <c:v>48</c:v>
                </c:pt>
                <c:pt idx="21">
                  <c:v>47</c:v>
                </c:pt>
                <c:pt idx="22">
                  <c:v>49</c:v>
                </c:pt>
                <c:pt idx="23">
                  <c:v>52</c:v>
                </c:pt>
                <c:pt idx="24">
                  <c:v>83</c:v>
                </c:pt>
                <c:pt idx="25">
                  <c:v>86</c:v>
                </c:pt>
                <c:pt idx="26">
                  <c:v>81</c:v>
                </c:pt>
                <c:pt idx="27">
                  <c:v>96</c:v>
                </c:pt>
                <c:pt idx="28">
                  <c:v>97</c:v>
                </c:pt>
                <c:pt idx="29">
                  <c:v>105</c:v>
                </c:pt>
              </c:numCache>
            </c:numRef>
          </c:xVal>
          <c:yVal>
            <c:numRef>
              <c:f>'Анализ данных 3'!$B$30:$B$59</c:f>
              <c:numCache>
                <c:formatCode>General</c:formatCode>
                <c:ptCount val="30"/>
                <c:pt idx="0">
                  <c:v>367.529046659562</c:v>
                </c:pt>
                <c:pt idx="1">
                  <c:v>397.760013186024</c:v>
                </c:pt>
                <c:pt idx="2">
                  <c:v>399.718325730829</c:v>
                </c:pt>
                <c:pt idx="3">
                  <c:v>424.966356448354</c:v>
                </c:pt>
                <c:pt idx="4">
                  <c:v>453.092545094373</c:v>
                </c:pt>
                <c:pt idx="5">
                  <c:v>441.262090588907</c:v>
                </c:pt>
                <c:pt idx="6">
                  <c:v>484.558878699072</c:v>
                </c:pt>
                <c:pt idx="7">
                  <c:v>489.397225749423</c:v>
                </c:pt>
                <c:pt idx="8">
                  <c:v>497.912844635571</c:v>
                </c:pt>
                <c:pt idx="9">
                  <c:v>574.770840694327</c:v>
                </c:pt>
                <c:pt idx="10">
                  <c:v>656.520452559759</c:v>
                </c:pt>
                <c:pt idx="11">
                  <c:v>619.172955142222</c:v>
                </c:pt>
                <c:pt idx="12">
                  <c:v>633.697739831152</c:v>
                </c:pt>
                <c:pt idx="13">
                  <c:v>631.317952756566</c:v>
                </c:pt>
                <c:pt idx="14">
                  <c:v>671.368128526613</c:v>
                </c:pt>
                <c:pt idx="15">
                  <c:v>666.431943175784</c:v>
                </c:pt>
                <c:pt idx="16">
                  <c:v>691.779464095678</c:v>
                </c:pt>
                <c:pt idx="17">
                  <c:v>770.598570560822</c:v>
                </c:pt>
                <c:pt idx="18">
                  <c:v>760.245819729521</c:v>
                </c:pt>
                <c:pt idx="19">
                  <c:v>748.203574887047</c:v>
                </c:pt>
                <c:pt idx="20">
                  <c:v>775.760683468675</c:v>
                </c:pt>
                <c:pt idx="21">
                  <c:v>796.259963342552</c:v>
                </c:pt>
                <c:pt idx="22">
                  <c:v>840.460572570408</c:v>
                </c:pt>
                <c:pt idx="23">
                  <c:v>886.173816468584</c:v>
                </c:pt>
                <c:pt idx="24">
                  <c:v>883.558808179175</c:v>
                </c:pt>
                <c:pt idx="25">
                  <c:v>915.477521843046</c:v>
                </c:pt>
                <c:pt idx="26">
                  <c:v>915.541249917251</c:v>
                </c:pt>
                <c:pt idx="27">
                  <c:v>922.178232166138</c:v>
                </c:pt>
                <c:pt idx="28">
                  <c:v>983.951839956605</c:v>
                </c:pt>
                <c:pt idx="29">
                  <c:v>1009.33254333595</c:v>
                </c:pt>
              </c:numCache>
            </c:numRef>
          </c:yVal>
          <c:smooth val="0"/>
        </c:ser>
        <c:dLbls>
          <c:showLegendKey val="0"/>
          <c:showVal val="0"/>
          <c:showCatName val="0"/>
          <c:showSerName val="0"/>
          <c:showPercent val="0"/>
          <c:showBubbleSize val="0"/>
        </c:dLbls>
        <c:axId val="1229886271"/>
        <c:axId val="1229404751"/>
      </c:scatterChart>
      <c:valAx>
        <c:axId val="1229886271"/>
        <c:scaling>
          <c:orientation val="minMax"/>
        </c:scaling>
        <c:delete val="0"/>
        <c:axPos val="b"/>
        <c:title>
          <c:tx>
            <c:rich>
              <a:bodyPr rot="0" spcFirstLastPara="0" vertOverflow="ellipsis" vert="horz" wrap="square" anchor="ctr" anchorCtr="1"/>
              <a:lstStyle/>
              <a:p>
                <a:pPr>
                  <a:defRPr lang="ru-RU" sz="1000" b="1" i="0" u="none" strike="noStrike" kern="1200" baseline="0">
                    <a:solidFill>
                      <a:schemeClr val="tx1"/>
                    </a:solidFill>
                    <a:latin typeface="+mn-lt"/>
                    <a:ea typeface="+mn-ea"/>
                    <a:cs typeface="+mn-cs"/>
                  </a:defRPr>
                </a:pPr>
                <a:r>
                  <a:rPr lang="ru-RU"/>
                  <a:t>Коммерческие расходы, млн руб., </a:t>
                </a:r>
                <a:r>
                  <a:rPr lang="en-US"/>
                  <a:t>X6</a:t>
                </a:r>
                <a:endParaRPr lang="en-US"/>
              </a:p>
            </c:rich>
          </c:tx>
          <c:layout/>
          <c:overlay val="0"/>
        </c:title>
        <c:numFmt formatCode="General" sourceLinked="1"/>
        <c:majorTickMark val="out"/>
        <c:minorTickMark val="none"/>
        <c:tickLblPos val="nextTo"/>
        <c:txPr>
          <a:bodyPr rot="-60000000" spcFirstLastPara="0" vertOverflow="ellipsis" vert="horz" wrap="square" anchor="ctr" anchorCtr="1"/>
          <a:lstStyle/>
          <a:p>
            <a:pPr>
              <a:defRPr lang="ru-RU" sz="1000" b="0" i="0" u="none" strike="noStrike" kern="1200" baseline="0">
                <a:solidFill>
                  <a:schemeClr val="tx1"/>
                </a:solidFill>
                <a:latin typeface="+mn-lt"/>
                <a:ea typeface="+mn-ea"/>
                <a:cs typeface="+mn-cs"/>
              </a:defRPr>
            </a:pPr>
          </a:p>
        </c:txPr>
        <c:crossAx val="1229404751"/>
        <c:crosses val="autoZero"/>
        <c:crossBetween val="midCat"/>
      </c:valAx>
      <c:valAx>
        <c:axId val="1229404751"/>
        <c:scaling>
          <c:orientation val="minMax"/>
        </c:scaling>
        <c:delete val="0"/>
        <c:axPos val="l"/>
        <c:title>
          <c:tx>
            <c:rich>
              <a:bodyPr rot="-5400000" spcFirstLastPara="0" vertOverflow="ellipsis" vert="horz" wrap="square" anchor="ctr" anchorCtr="1"/>
              <a:lstStyle/>
              <a:p>
                <a:pPr>
                  <a:defRPr lang="ru-RU" sz="1000" b="1" i="0" u="none" strike="noStrike" kern="1200" baseline="0">
                    <a:solidFill>
                      <a:schemeClr val="tx1"/>
                    </a:solidFill>
                    <a:latin typeface="+mn-lt"/>
                    <a:ea typeface="+mn-ea"/>
                    <a:cs typeface="+mn-cs"/>
                  </a:defRPr>
                </a:pPr>
                <a:r>
                  <a:rPr lang="ru-RU"/>
                  <a:t>Прибыль, млн руб., </a:t>
                </a:r>
                <a:r>
                  <a:rPr lang="en-US"/>
                  <a:t>Y</a:t>
                </a:r>
                <a:endParaRPr lang="en-US"/>
              </a:p>
            </c:rich>
          </c:tx>
          <c:layout/>
          <c:overlay val="0"/>
        </c:title>
        <c:numFmt formatCode="General" sourceLinked="1"/>
        <c:majorTickMark val="out"/>
        <c:minorTickMark val="none"/>
        <c:tickLblPos val="nextTo"/>
        <c:txPr>
          <a:bodyPr rot="-60000000" spcFirstLastPara="0" vertOverflow="ellipsis" vert="horz" wrap="square" anchor="ctr" anchorCtr="1"/>
          <a:lstStyle/>
          <a:p>
            <a:pPr>
              <a:defRPr lang="ru-RU" sz="1000" b="0" i="0" u="none" strike="noStrike" kern="1200" baseline="0">
                <a:solidFill>
                  <a:schemeClr val="tx1"/>
                </a:solidFill>
                <a:latin typeface="+mn-lt"/>
                <a:ea typeface="+mn-ea"/>
                <a:cs typeface="+mn-cs"/>
              </a:defRPr>
            </a:pPr>
          </a:p>
        </c:txPr>
        <c:crossAx val="1229886271"/>
        <c:crosses val="autoZero"/>
        <c:crossBetween val="midCat"/>
      </c:valAx>
    </c:plotArea>
    <c:legend>
      <c:legendPos val="r"/>
      <c:layout/>
      <c:overlay val="0"/>
      <c:txPr>
        <a:bodyPr rot="0" spcFirstLastPara="0" vertOverflow="ellipsis" vert="horz" wrap="square" anchor="ctr" anchorCtr="1"/>
        <a:lstStyle/>
        <a:p>
          <a:pPr>
            <a:defRPr lang="ru-RU" sz="1000" b="0" i="0" u="none" strike="noStrike" kern="1200" baseline="0">
              <a:solidFill>
                <a:schemeClr val="tx1"/>
              </a:solidFill>
              <a:latin typeface="+mn-lt"/>
              <a:ea typeface="+mn-ea"/>
              <a:cs typeface="+mn-cs"/>
            </a:defRPr>
          </a:pPr>
        </a:p>
      </c:txPr>
    </c:legend>
    <c:plotVisOnly val="1"/>
    <c:dispBlanksAs val="gap"/>
    <c:showDLblsOverMax val="0"/>
    <c:extLst>
      <c:ext uri="{0b15fc19-7d7d-44ad-8c2d-2c3a37ce22c3}">
        <chartProps xmlns="https://web.wps.cn/et/2018/main" chartId="{7f7c43cc-b738-4c0a-a782-c448bb20ab50}"/>
      </c:ext>
    </c:extLst>
  </c:chart>
  <c:txPr>
    <a:bodyPr/>
    <a:lstStyle/>
    <a:p>
      <a:pPr>
        <a:defRPr lang="ru-RU"/>
      </a:pPr>
    </a:p>
  </c:txPr>
  <c:printSettings>
    <c:headerFooter/>
    <c:pageMargins b="0.75" l="0.7" r="0.7" t="0.75" header="0.3" footer="0.3"/>
    <c:pageSetup/>
  </c:printSettings>
</c:chartSpace>
</file>

<file path=xl/charts/chart26.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0" vertOverflow="ellipsis" vert="horz" wrap="square" anchor="ctr" anchorCtr="1"/>
          <a:lstStyle/>
          <a:p>
            <a:pPr>
              <a:defRPr lang="ru-RU" sz="1800" b="1" i="0" u="none" strike="noStrike" kern="1200" baseline="0">
                <a:solidFill>
                  <a:schemeClr val="tx1"/>
                </a:solidFill>
                <a:latin typeface="+mn-lt"/>
                <a:ea typeface="+mn-ea"/>
                <a:cs typeface="+mn-cs"/>
              </a:defRPr>
            </a:pPr>
            <a:r>
              <a:rPr lang="ru-RU"/>
              <a:t>Индекс рыночных цен, в разах, </a:t>
            </a:r>
            <a:r>
              <a:rPr lang="en-US"/>
              <a:t>X8 </a:t>
            </a:r>
            <a:r>
              <a:rPr lang="ru-RU"/>
              <a:t>График подбора</a:t>
            </a:r>
            <a:endParaRPr lang="ru-RU"/>
          </a:p>
        </c:rich>
      </c:tx>
      <c:layout/>
      <c:overlay val="0"/>
    </c:title>
    <c:autoTitleDeleted val="0"/>
    <c:plotArea>
      <c:layout/>
      <c:scatterChart>
        <c:scatterStyle val="marker"/>
        <c:varyColors val="0"/>
        <c:ser>
          <c:idx val="0"/>
          <c:order val="0"/>
          <c:tx>
            <c:strRef>
              <c:f>"Прибыль, млн руб., Y"</c:f>
              <c:strCache>
                <c:ptCount val="1"/>
                <c:pt idx="0">
                  <c:v>Прибыль, млн руб., Y</c:v>
                </c:pt>
              </c:strCache>
            </c:strRef>
          </c:tx>
          <c:spPr>
            <a:ln w="19050" cap="rnd" cmpd="sng" algn="ctr">
              <a:noFill/>
              <a:prstDash val="solid"/>
              <a:round/>
            </a:ln>
          </c:spPr>
          <c:dLbls>
            <c:delete val="1"/>
          </c:dLbls>
          <c:xVal>
            <c:numRef>
              <c:f>'Исходные данные 3'!$G$2:$G$31</c:f>
              <c:numCache>
                <c:formatCode>General</c:formatCode>
                <c:ptCount val="30"/>
                <c:pt idx="0">
                  <c:v>1.02</c:v>
                </c:pt>
                <c:pt idx="1">
                  <c:v>1.03</c:v>
                </c:pt>
                <c:pt idx="2">
                  <c:v>1.02</c:v>
                </c:pt>
                <c:pt idx="3">
                  <c:v>1.04</c:v>
                </c:pt>
                <c:pt idx="4">
                  <c:v>1.03</c:v>
                </c:pt>
                <c:pt idx="5">
                  <c:v>1.03</c:v>
                </c:pt>
                <c:pt idx="6">
                  <c:v>1.04</c:v>
                </c:pt>
                <c:pt idx="7">
                  <c:v>1.05</c:v>
                </c:pt>
                <c:pt idx="8">
                  <c:v>1.07</c:v>
                </c:pt>
                <c:pt idx="9">
                  <c:v>1.2</c:v>
                </c:pt>
                <c:pt idx="10">
                  <c:v>1.25</c:v>
                </c:pt>
                <c:pt idx="11">
                  <c:v>1.28</c:v>
                </c:pt>
                <c:pt idx="12">
                  <c:v>1.32</c:v>
                </c:pt>
                <c:pt idx="13">
                  <c:v>1.35</c:v>
                </c:pt>
                <c:pt idx="14">
                  <c:v>1.32</c:v>
                </c:pt>
                <c:pt idx="15">
                  <c:v>1.32</c:v>
                </c:pt>
                <c:pt idx="16">
                  <c:v>1.45</c:v>
                </c:pt>
                <c:pt idx="17">
                  <c:v>1.48</c:v>
                </c:pt>
                <c:pt idx="18">
                  <c:v>1.31</c:v>
                </c:pt>
                <c:pt idx="19">
                  <c:v>1.22</c:v>
                </c:pt>
                <c:pt idx="20">
                  <c:v>1.15</c:v>
                </c:pt>
                <c:pt idx="21">
                  <c:v>1.11</c:v>
                </c:pt>
                <c:pt idx="22">
                  <c:v>1.08</c:v>
                </c:pt>
                <c:pt idx="23">
                  <c:v>1.06</c:v>
                </c:pt>
                <c:pt idx="24">
                  <c:v>1.06</c:v>
                </c:pt>
                <c:pt idx="25">
                  <c:v>1.05</c:v>
                </c:pt>
                <c:pt idx="26">
                  <c:v>1.05</c:v>
                </c:pt>
                <c:pt idx="27">
                  <c:v>1.03</c:v>
                </c:pt>
                <c:pt idx="28">
                  <c:v>1.04</c:v>
                </c:pt>
                <c:pt idx="29">
                  <c:v>1.05</c:v>
                </c:pt>
              </c:numCache>
            </c:numRef>
          </c:xVal>
          <c:yVal>
            <c:numRef>
              <c:f>'Исходные данные 3'!$B$2:$B$31</c:f>
              <c:numCache>
                <c:formatCode>General</c:formatCode>
                <c:ptCount val="30"/>
                <c:pt idx="0">
                  <c:v>335</c:v>
                </c:pt>
                <c:pt idx="1">
                  <c:v>336</c:v>
                </c:pt>
                <c:pt idx="2">
                  <c:v>388</c:v>
                </c:pt>
                <c:pt idx="3">
                  <c:v>420</c:v>
                </c:pt>
                <c:pt idx="4">
                  <c:v>450</c:v>
                </c:pt>
                <c:pt idx="5">
                  <c:v>450</c:v>
                </c:pt>
                <c:pt idx="6">
                  <c:v>500</c:v>
                </c:pt>
                <c:pt idx="7">
                  <c:v>520</c:v>
                </c:pt>
                <c:pt idx="8">
                  <c:v>550</c:v>
                </c:pt>
                <c:pt idx="9">
                  <c:v>600</c:v>
                </c:pt>
                <c:pt idx="10">
                  <c:v>605</c:v>
                </c:pt>
                <c:pt idx="11">
                  <c:v>620</c:v>
                </c:pt>
                <c:pt idx="12">
                  <c:v>630</c:v>
                </c:pt>
                <c:pt idx="13">
                  <c:v>655</c:v>
                </c:pt>
                <c:pt idx="14">
                  <c:v>690</c:v>
                </c:pt>
                <c:pt idx="15">
                  <c:v>690</c:v>
                </c:pt>
                <c:pt idx="16">
                  <c:v>710</c:v>
                </c:pt>
                <c:pt idx="17">
                  <c:v>720</c:v>
                </c:pt>
                <c:pt idx="18">
                  <c:v>745</c:v>
                </c:pt>
                <c:pt idx="19">
                  <c:v>760</c:v>
                </c:pt>
                <c:pt idx="20">
                  <c:v>780</c:v>
                </c:pt>
                <c:pt idx="21">
                  <c:v>840</c:v>
                </c:pt>
                <c:pt idx="22">
                  <c:v>845</c:v>
                </c:pt>
                <c:pt idx="23">
                  <c:v>850</c:v>
                </c:pt>
                <c:pt idx="24">
                  <c:v>860</c:v>
                </c:pt>
                <c:pt idx="25">
                  <c:v>890</c:v>
                </c:pt>
                <c:pt idx="26">
                  <c:v>940</c:v>
                </c:pt>
                <c:pt idx="27">
                  <c:v>960</c:v>
                </c:pt>
                <c:pt idx="28">
                  <c:v>980</c:v>
                </c:pt>
                <c:pt idx="29">
                  <c:v>990</c:v>
                </c:pt>
              </c:numCache>
            </c:numRef>
          </c:yVal>
          <c:smooth val="0"/>
        </c:ser>
        <c:ser>
          <c:idx val="1"/>
          <c:order val="1"/>
          <c:tx>
            <c:strRef>
              <c:f>"Предсказанное Прибыль, млн руб., Y"</c:f>
              <c:strCache>
                <c:ptCount val="1"/>
                <c:pt idx="0">
                  <c:v>Предсказанное Прибыль, млн руб., Y</c:v>
                </c:pt>
              </c:strCache>
            </c:strRef>
          </c:tx>
          <c:spPr>
            <a:ln w="19050" cap="rnd" cmpd="sng" algn="ctr">
              <a:noFill/>
              <a:prstDash val="solid"/>
              <a:round/>
            </a:ln>
          </c:spPr>
          <c:dLbls>
            <c:delete val="1"/>
          </c:dLbls>
          <c:xVal>
            <c:numRef>
              <c:f>'Исходные данные 3'!$G$2:$G$31</c:f>
              <c:numCache>
                <c:formatCode>General</c:formatCode>
                <c:ptCount val="30"/>
                <c:pt idx="0">
                  <c:v>1.02</c:v>
                </c:pt>
                <c:pt idx="1">
                  <c:v>1.03</c:v>
                </c:pt>
                <c:pt idx="2">
                  <c:v>1.02</c:v>
                </c:pt>
                <c:pt idx="3">
                  <c:v>1.04</c:v>
                </c:pt>
                <c:pt idx="4">
                  <c:v>1.03</c:v>
                </c:pt>
                <c:pt idx="5">
                  <c:v>1.03</c:v>
                </c:pt>
                <c:pt idx="6">
                  <c:v>1.04</c:v>
                </c:pt>
                <c:pt idx="7">
                  <c:v>1.05</c:v>
                </c:pt>
                <c:pt idx="8">
                  <c:v>1.07</c:v>
                </c:pt>
                <c:pt idx="9">
                  <c:v>1.2</c:v>
                </c:pt>
                <c:pt idx="10">
                  <c:v>1.25</c:v>
                </c:pt>
                <c:pt idx="11">
                  <c:v>1.28</c:v>
                </c:pt>
                <c:pt idx="12">
                  <c:v>1.32</c:v>
                </c:pt>
                <c:pt idx="13">
                  <c:v>1.35</c:v>
                </c:pt>
                <c:pt idx="14">
                  <c:v>1.32</c:v>
                </c:pt>
                <c:pt idx="15">
                  <c:v>1.32</c:v>
                </c:pt>
                <c:pt idx="16">
                  <c:v>1.45</c:v>
                </c:pt>
                <c:pt idx="17">
                  <c:v>1.48</c:v>
                </c:pt>
                <c:pt idx="18">
                  <c:v>1.31</c:v>
                </c:pt>
                <c:pt idx="19">
                  <c:v>1.22</c:v>
                </c:pt>
                <c:pt idx="20">
                  <c:v>1.15</c:v>
                </c:pt>
                <c:pt idx="21">
                  <c:v>1.11</c:v>
                </c:pt>
                <c:pt idx="22">
                  <c:v>1.08</c:v>
                </c:pt>
                <c:pt idx="23">
                  <c:v>1.06</c:v>
                </c:pt>
                <c:pt idx="24">
                  <c:v>1.06</c:v>
                </c:pt>
                <c:pt idx="25">
                  <c:v>1.05</c:v>
                </c:pt>
                <c:pt idx="26">
                  <c:v>1.05</c:v>
                </c:pt>
                <c:pt idx="27">
                  <c:v>1.03</c:v>
                </c:pt>
                <c:pt idx="28">
                  <c:v>1.04</c:v>
                </c:pt>
                <c:pt idx="29">
                  <c:v>1.05</c:v>
                </c:pt>
              </c:numCache>
            </c:numRef>
          </c:xVal>
          <c:yVal>
            <c:numRef>
              <c:f>'Анализ данных 3'!$B$30:$B$59</c:f>
              <c:numCache>
                <c:formatCode>General</c:formatCode>
                <c:ptCount val="30"/>
                <c:pt idx="0">
                  <c:v>367.529046659562</c:v>
                </c:pt>
                <c:pt idx="1">
                  <c:v>397.760013186024</c:v>
                </c:pt>
                <c:pt idx="2">
                  <c:v>399.718325730829</c:v>
                </c:pt>
                <c:pt idx="3">
                  <c:v>424.966356448354</c:v>
                </c:pt>
                <c:pt idx="4">
                  <c:v>453.092545094373</c:v>
                </c:pt>
                <c:pt idx="5">
                  <c:v>441.262090588907</c:v>
                </c:pt>
                <c:pt idx="6">
                  <c:v>484.558878699072</c:v>
                </c:pt>
                <c:pt idx="7">
                  <c:v>489.397225749423</c:v>
                </c:pt>
                <c:pt idx="8">
                  <c:v>497.912844635571</c:v>
                </c:pt>
                <c:pt idx="9">
                  <c:v>574.770840694327</c:v>
                </c:pt>
                <c:pt idx="10">
                  <c:v>656.520452559759</c:v>
                </c:pt>
                <c:pt idx="11">
                  <c:v>619.172955142222</c:v>
                </c:pt>
                <c:pt idx="12">
                  <c:v>633.697739831152</c:v>
                </c:pt>
                <c:pt idx="13">
                  <c:v>631.317952756566</c:v>
                </c:pt>
                <c:pt idx="14">
                  <c:v>671.368128526613</c:v>
                </c:pt>
                <c:pt idx="15">
                  <c:v>666.431943175784</c:v>
                </c:pt>
                <c:pt idx="16">
                  <c:v>691.779464095678</c:v>
                </c:pt>
                <c:pt idx="17">
                  <c:v>770.598570560822</c:v>
                </c:pt>
                <c:pt idx="18">
                  <c:v>760.245819729521</c:v>
                </c:pt>
                <c:pt idx="19">
                  <c:v>748.203574887047</c:v>
                </c:pt>
                <c:pt idx="20">
                  <c:v>775.760683468675</c:v>
                </c:pt>
                <c:pt idx="21">
                  <c:v>796.259963342552</c:v>
                </c:pt>
                <c:pt idx="22">
                  <c:v>840.460572570408</c:v>
                </c:pt>
                <c:pt idx="23">
                  <c:v>886.173816468584</c:v>
                </c:pt>
                <c:pt idx="24">
                  <c:v>883.558808179175</c:v>
                </c:pt>
                <c:pt idx="25">
                  <c:v>915.477521843046</c:v>
                </c:pt>
                <c:pt idx="26">
                  <c:v>915.541249917251</c:v>
                </c:pt>
                <c:pt idx="27">
                  <c:v>922.178232166138</c:v>
                </c:pt>
                <c:pt idx="28">
                  <c:v>983.951839956605</c:v>
                </c:pt>
                <c:pt idx="29">
                  <c:v>1009.33254333595</c:v>
                </c:pt>
              </c:numCache>
            </c:numRef>
          </c:yVal>
          <c:smooth val="0"/>
        </c:ser>
        <c:dLbls>
          <c:showLegendKey val="0"/>
          <c:showVal val="0"/>
          <c:showCatName val="0"/>
          <c:showSerName val="0"/>
          <c:showPercent val="0"/>
          <c:showBubbleSize val="0"/>
        </c:dLbls>
        <c:axId val="1229886271"/>
        <c:axId val="1229403087"/>
      </c:scatterChart>
      <c:valAx>
        <c:axId val="1229886271"/>
        <c:scaling>
          <c:orientation val="minMax"/>
        </c:scaling>
        <c:delete val="0"/>
        <c:axPos val="b"/>
        <c:title>
          <c:tx>
            <c:rich>
              <a:bodyPr rot="0" spcFirstLastPara="0" vertOverflow="ellipsis" vert="horz" wrap="square" anchor="ctr" anchorCtr="1"/>
              <a:lstStyle/>
              <a:p>
                <a:pPr>
                  <a:defRPr lang="ru-RU" sz="1000" b="1" i="0" u="none" strike="noStrike" kern="1200" baseline="0">
                    <a:solidFill>
                      <a:schemeClr val="tx1"/>
                    </a:solidFill>
                    <a:latin typeface="+mn-lt"/>
                    <a:ea typeface="+mn-ea"/>
                    <a:cs typeface="+mn-cs"/>
                  </a:defRPr>
                </a:pPr>
                <a:r>
                  <a:rPr lang="ru-RU"/>
                  <a:t>Индекс рыночных цен, в разах, </a:t>
                </a:r>
                <a:r>
                  <a:rPr lang="en-US"/>
                  <a:t>X8</a:t>
                </a:r>
                <a:endParaRPr lang="en-US"/>
              </a:p>
            </c:rich>
          </c:tx>
          <c:layout/>
          <c:overlay val="0"/>
        </c:title>
        <c:numFmt formatCode="General" sourceLinked="1"/>
        <c:majorTickMark val="out"/>
        <c:minorTickMark val="none"/>
        <c:tickLblPos val="nextTo"/>
        <c:txPr>
          <a:bodyPr rot="-60000000" spcFirstLastPara="0" vertOverflow="ellipsis" vert="horz" wrap="square" anchor="ctr" anchorCtr="1"/>
          <a:lstStyle/>
          <a:p>
            <a:pPr>
              <a:defRPr lang="ru-RU" sz="1000" b="0" i="0" u="none" strike="noStrike" kern="1200" baseline="0">
                <a:solidFill>
                  <a:schemeClr val="tx1"/>
                </a:solidFill>
                <a:latin typeface="+mn-lt"/>
                <a:ea typeface="+mn-ea"/>
                <a:cs typeface="+mn-cs"/>
              </a:defRPr>
            </a:pPr>
          </a:p>
        </c:txPr>
        <c:crossAx val="1229403087"/>
        <c:crosses val="autoZero"/>
        <c:crossBetween val="midCat"/>
      </c:valAx>
      <c:valAx>
        <c:axId val="1229403087"/>
        <c:scaling>
          <c:orientation val="minMax"/>
        </c:scaling>
        <c:delete val="0"/>
        <c:axPos val="l"/>
        <c:title>
          <c:tx>
            <c:rich>
              <a:bodyPr rot="-5400000" spcFirstLastPara="0" vertOverflow="ellipsis" vert="horz" wrap="square" anchor="ctr" anchorCtr="1"/>
              <a:lstStyle/>
              <a:p>
                <a:pPr>
                  <a:defRPr lang="ru-RU" sz="1000" b="1" i="0" u="none" strike="noStrike" kern="1200" baseline="0">
                    <a:solidFill>
                      <a:schemeClr val="tx1"/>
                    </a:solidFill>
                    <a:latin typeface="+mn-lt"/>
                    <a:ea typeface="+mn-ea"/>
                    <a:cs typeface="+mn-cs"/>
                  </a:defRPr>
                </a:pPr>
                <a:r>
                  <a:rPr lang="ru-RU"/>
                  <a:t>Прибыль, млн руб., </a:t>
                </a:r>
                <a:r>
                  <a:rPr lang="en-US"/>
                  <a:t>Y</a:t>
                </a:r>
                <a:endParaRPr lang="en-US"/>
              </a:p>
            </c:rich>
          </c:tx>
          <c:layout/>
          <c:overlay val="0"/>
        </c:title>
        <c:numFmt formatCode="General" sourceLinked="1"/>
        <c:majorTickMark val="out"/>
        <c:minorTickMark val="none"/>
        <c:tickLblPos val="nextTo"/>
        <c:txPr>
          <a:bodyPr rot="-60000000" spcFirstLastPara="0" vertOverflow="ellipsis" vert="horz" wrap="square" anchor="ctr" anchorCtr="1"/>
          <a:lstStyle/>
          <a:p>
            <a:pPr>
              <a:defRPr lang="ru-RU" sz="1000" b="0" i="0" u="none" strike="noStrike" kern="1200" baseline="0">
                <a:solidFill>
                  <a:schemeClr val="tx1"/>
                </a:solidFill>
                <a:latin typeface="+mn-lt"/>
                <a:ea typeface="+mn-ea"/>
                <a:cs typeface="+mn-cs"/>
              </a:defRPr>
            </a:pPr>
          </a:p>
        </c:txPr>
        <c:crossAx val="1229886271"/>
        <c:crosses val="autoZero"/>
        <c:crossBetween val="midCat"/>
      </c:valAx>
    </c:plotArea>
    <c:legend>
      <c:legendPos val="r"/>
      <c:layout/>
      <c:overlay val="0"/>
      <c:txPr>
        <a:bodyPr rot="0" spcFirstLastPara="0" vertOverflow="ellipsis" vert="horz" wrap="square" anchor="ctr" anchorCtr="1"/>
        <a:lstStyle/>
        <a:p>
          <a:pPr>
            <a:defRPr lang="ru-RU" sz="1000" b="0" i="0" u="none" strike="noStrike" kern="1200" baseline="0">
              <a:solidFill>
                <a:schemeClr val="tx1"/>
              </a:solidFill>
              <a:latin typeface="+mn-lt"/>
              <a:ea typeface="+mn-ea"/>
              <a:cs typeface="+mn-cs"/>
            </a:defRPr>
          </a:pPr>
        </a:p>
      </c:txPr>
    </c:legend>
    <c:plotVisOnly val="1"/>
    <c:dispBlanksAs val="gap"/>
    <c:showDLblsOverMax val="0"/>
    <c:extLst>
      <c:ext uri="{0b15fc19-7d7d-44ad-8c2d-2c3a37ce22c3}">
        <chartProps xmlns="https://web.wps.cn/et/2018/main" chartId="{12574019-6833-4884-bc38-31fc622de497}"/>
      </c:ext>
    </c:extLst>
  </c:chart>
  <c:txPr>
    <a:bodyPr/>
    <a:lstStyle/>
    <a:p>
      <a:pPr>
        <a:defRPr lang="ru-RU"/>
      </a:pPr>
    </a:p>
  </c:txPr>
  <c:printSettings>
    <c:headerFooter/>
    <c:pageMargins b="0.75" l="0.7" r="0.7" t="0.75" header="0.3" footer="0.3"/>
    <c:pageSetup/>
  </c:printSettings>
</c:chartSpace>
</file>

<file path=xl/charts/chart27.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0" vertOverflow="ellipsis" vert="horz" wrap="square" anchor="ctr" anchorCtr="1"/>
          <a:lstStyle/>
          <a:p>
            <a:pPr>
              <a:defRPr lang="ru-RU" sz="1800" b="1" i="0" u="none" strike="noStrike" kern="1200" baseline="0">
                <a:solidFill>
                  <a:schemeClr val="tx1"/>
                </a:solidFill>
                <a:latin typeface="+mn-lt"/>
                <a:ea typeface="+mn-ea"/>
                <a:cs typeface="+mn-cs"/>
              </a:defRPr>
            </a:pPr>
            <a:r>
              <a:rPr lang="ru-RU"/>
              <a:t>Уровень использования производственных мощностей, %, </a:t>
            </a:r>
            <a:r>
              <a:rPr lang="en-US"/>
              <a:t>X9 </a:t>
            </a:r>
            <a:r>
              <a:rPr lang="ru-RU"/>
              <a:t>График подбора</a:t>
            </a:r>
            <a:endParaRPr lang="ru-RU"/>
          </a:p>
        </c:rich>
      </c:tx>
      <c:layout/>
      <c:overlay val="0"/>
    </c:title>
    <c:autoTitleDeleted val="0"/>
    <c:plotArea>
      <c:layout/>
      <c:scatterChart>
        <c:scatterStyle val="marker"/>
        <c:varyColors val="0"/>
        <c:ser>
          <c:idx val="0"/>
          <c:order val="0"/>
          <c:tx>
            <c:strRef>
              <c:f>"Прибыль, млн руб., Y"</c:f>
              <c:strCache>
                <c:ptCount val="1"/>
                <c:pt idx="0">
                  <c:v>Прибыль, млн руб., Y</c:v>
                </c:pt>
              </c:strCache>
            </c:strRef>
          </c:tx>
          <c:spPr>
            <a:ln w="19050" cap="rnd" cmpd="sng" algn="ctr">
              <a:noFill/>
              <a:prstDash val="solid"/>
              <a:round/>
            </a:ln>
          </c:spPr>
          <c:dLbls>
            <c:delete val="1"/>
          </c:dLbls>
          <c:xVal>
            <c:numRef>
              <c:f>'Исходные данные 3'!$H$2:$H$31</c:f>
              <c:numCache>
                <c:formatCode>General</c:formatCode>
                <c:ptCount val="30"/>
                <c:pt idx="0">
                  <c:v>96</c:v>
                </c:pt>
                <c:pt idx="1">
                  <c:v>97</c:v>
                </c:pt>
                <c:pt idx="2">
                  <c:v>96</c:v>
                </c:pt>
                <c:pt idx="3">
                  <c:v>93</c:v>
                </c:pt>
                <c:pt idx="4">
                  <c:v>93</c:v>
                </c:pt>
                <c:pt idx="5">
                  <c:v>94</c:v>
                </c:pt>
                <c:pt idx="6">
                  <c:v>95</c:v>
                </c:pt>
                <c:pt idx="7">
                  <c:v>95</c:v>
                </c:pt>
                <c:pt idx="8">
                  <c:v>95</c:v>
                </c:pt>
                <c:pt idx="9">
                  <c:v>95</c:v>
                </c:pt>
                <c:pt idx="10">
                  <c:v>88</c:v>
                </c:pt>
                <c:pt idx="11">
                  <c:v>85</c:v>
                </c:pt>
                <c:pt idx="12">
                  <c:v>72</c:v>
                </c:pt>
                <c:pt idx="13">
                  <c:v>68</c:v>
                </c:pt>
                <c:pt idx="14">
                  <c:v>66</c:v>
                </c:pt>
                <c:pt idx="15">
                  <c:v>62</c:v>
                </c:pt>
                <c:pt idx="16">
                  <c:v>60</c:v>
                </c:pt>
                <c:pt idx="17">
                  <c:v>60</c:v>
                </c:pt>
                <c:pt idx="18">
                  <c:v>70</c:v>
                </c:pt>
                <c:pt idx="19">
                  <c:v>80</c:v>
                </c:pt>
                <c:pt idx="20">
                  <c:v>87</c:v>
                </c:pt>
                <c:pt idx="21">
                  <c:v>89</c:v>
                </c:pt>
                <c:pt idx="22">
                  <c:v>89</c:v>
                </c:pt>
                <c:pt idx="23">
                  <c:v>89</c:v>
                </c:pt>
                <c:pt idx="24">
                  <c:v>87</c:v>
                </c:pt>
                <c:pt idx="25">
                  <c:v>83</c:v>
                </c:pt>
                <c:pt idx="26">
                  <c:v>88</c:v>
                </c:pt>
                <c:pt idx="27">
                  <c:v>96</c:v>
                </c:pt>
                <c:pt idx="28">
                  <c:v>97</c:v>
                </c:pt>
                <c:pt idx="29">
                  <c:v>90</c:v>
                </c:pt>
              </c:numCache>
            </c:numRef>
          </c:xVal>
          <c:yVal>
            <c:numRef>
              <c:f>'Исходные данные 3'!$B$2:$B$31</c:f>
              <c:numCache>
                <c:formatCode>General</c:formatCode>
                <c:ptCount val="30"/>
                <c:pt idx="0">
                  <c:v>335</c:v>
                </c:pt>
                <c:pt idx="1">
                  <c:v>336</c:v>
                </c:pt>
                <c:pt idx="2">
                  <c:v>388</c:v>
                </c:pt>
                <c:pt idx="3">
                  <c:v>420</c:v>
                </c:pt>
                <c:pt idx="4">
                  <c:v>450</c:v>
                </c:pt>
                <c:pt idx="5">
                  <c:v>450</c:v>
                </c:pt>
                <c:pt idx="6">
                  <c:v>500</c:v>
                </c:pt>
                <c:pt idx="7">
                  <c:v>520</c:v>
                </c:pt>
                <c:pt idx="8">
                  <c:v>550</c:v>
                </c:pt>
                <c:pt idx="9">
                  <c:v>600</c:v>
                </c:pt>
                <c:pt idx="10">
                  <c:v>605</c:v>
                </c:pt>
                <c:pt idx="11">
                  <c:v>620</c:v>
                </c:pt>
                <c:pt idx="12">
                  <c:v>630</c:v>
                </c:pt>
                <c:pt idx="13">
                  <c:v>655</c:v>
                </c:pt>
                <c:pt idx="14">
                  <c:v>690</c:v>
                </c:pt>
                <c:pt idx="15">
                  <c:v>690</c:v>
                </c:pt>
                <c:pt idx="16">
                  <c:v>710</c:v>
                </c:pt>
                <c:pt idx="17">
                  <c:v>720</c:v>
                </c:pt>
                <c:pt idx="18">
                  <c:v>745</c:v>
                </c:pt>
                <c:pt idx="19">
                  <c:v>760</c:v>
                </c:pt>
                <c:pt idx="20">
                  <c:v>780</c:v>
                </c:pt>
                <c:pt idx="21">
                  <c:v>840</c:v>
                </c:pt>
                <c:pt idx="22">
                  <c:v>845</c:v>
                </c:pt>
                <c:pt idx="23">
                  <c:v>850</c:v>
                </c:pt>
                <c:pt idx="24">
                  <c:v>860</c:v>
                </c:pt>
                <c:pt idx="25">
                  <c:v>890</c:v>
                </c:pt>
                <c:pt idx="26">
                  <c:v>940</c:v>
                </c:pt>
                <c:pt idx="27">
                  <c:v>960</c:v>
                </c:pt>
                <c:pt idx="28">
                  <c:v>980</c:v>
                </c:pt>
                <c:pt idx="29">
                  <c:v>990</c:v>
                </c:pt>
              </c:numCache>
            </c:numRef>
          </c:yVal>
          <c:smooth val="0"/>
        </c:ser>
        <c:ser>
          <c:idx val="1"/>
          <c:order val="1"/>
          <c:tx>
            <c:strRef>
              <c:f>"Предсказанное Прибыль, млн руб., Y"</c:f>
              <c:strCache>
                <c:ptCount val="1"/>
                <c:pt idx="0">
                  <c:v>Предсказанное Прибыль, млн руб., Y</c:v>
                </c:pt>
              </c:strCache>
            </c:strRef>
          </c:tx>
          <c:spPr>
            <a:ln w="19050" cap="rnd" cmpd="sng" algn="ctr">
              <a:noFill/>
              <a:prstDash val="solid"/>
              <a:round/>
            </a:ln>
          </c:spPr>
          <c:dLbls>
            <c:delete val="1"/>
          </c:dLbls>
          <c:xVal>
            <c:numRef>
              <c:f>'Исходные данные 3'!$H$2:$H$31</c:f>
              <c:numCache>
                <c:formatCode>General</c:formatCode>
                <c:ptCount val="30"/>
                <c:pt idx="0">
                  <c:v>96</c:v>
                </c:pt>
                <c:pt idx="1">
                  <c:v>97</c:v>
                </c:pt>
                <c:pt idx="2">
                  <c:v>96</c:v>
                </c:pt>
                <c:pt idx="3">
                  <c:v>93</c:v>
                </c:pt>
                <c:pt idx="4">
                  <c:v>93</c:v>
                </c:pt>
                <c:pt idx="5">
                  <c:v>94</c:v>
                </c:pt>
                <c:pt idx="6">
                  <c:v>95</c:v>
                </c:pt>
                <c:pt idx="7">
                  <c:v>95</c:v>
                </c:pt>
                <c:pt idx="8">
                  <c:v>95</c:v>
                </c:pt>
                <c:pt idx="9">
                  <c:v>95</c:v>
                </c:pt>
                <c:pt idx="10">
                  <c:v>88</c:v>
                </c:pt>
                <c:pt idx="11">
                  <c:v>85</c:v>
                </c:pt>
                <c:pt idx="12">
                  <c:v>72</c:v>
                </c:pt>
                <c:pt idx="13">
                  <c:v>68</c:v>
                </c:pt>
                <c:pt idx="14">
                  <c:v>66</c:v>
                </c:pt>
                <c:pt idx="15">
                  <c:v>62</c:v>
                </c:pt>
                <c:pt idx="16">
                  <c:v>60</c:v>
                </c:pt>
                <c:pt idx="17">
                  <c:v>60</c:v>
                </c:pt>
                <c:pt idx="18">
                  <c:v>70</c:v>
                </c:pt>
                <c:pt idx="19">
                  <c:v>80</c:v>
                </c:pt>
                <c:pt idx="20">
                  <c:v>87</c:v>
                </c:pt>
                <c:pt idx="21">
                  <c:v>89</c:v>
                </c:pt>
                <c:pt idx="22">
                  <c:v>89</c:v>
                </c:pt>
                <c:pt idx="23">
                  <c:v>89</c:v>
                </c:pt>
                <c:pt idx="24">
                  <c:v>87</c:v>
                </c:pt>
                <c:pt idx="25">
                  <c:v>83</c:v>
                </c:pt>
                <c:pt idx="26">
                  <c:v>88</c:v>
                </c:pt>
                <c:pt idx="27">
                  <c:v>96</c:v>
                </c:pt>
                <c:pt idx="28">
                  <c:v>97</c:v>
                </c:pt>
                <c:pt idx="29">
                  <c:v>90</c:v>
                </c:pt>
              </c:numCache>
            </c:numRef>
          </c:xVal>
          <c:yVal>
            <c:numRef>
              <c:f>'Анализ данных 3'!$B$30:$B$59</c:f>
              <c:numCache>
                <c:formatCode>General</c:formatCode>
                <c:ptCount val="30"/>
                <c:pt idx="0">
                  <c:v>367.529046659562</c:v>
                </c:pt>
                <c:pt idx="1">
                  <c:v>397.760013186024</c:v>
                </c:pt>
                <c:pt idx="2">
                  <c:v>399.718325730829</c:v>
                </c:pt>
                <c:pt idx="3">
                  <c:v>424.966356448354</c:v>
                </c:pt>
                <c:pt idx="4">
                  <c:v>453.092545094373</c:v>
                </c:pt>
                <c:pt idx="5">
                  <c:v>441.262090588907</c:v>
                </c:pt>
                <c:pt idx="6">
                  <c:v>484.558878699072</c:v>
                </c:pt>
                <c:pt idx="7">
                  <c:v>489.397225749423</c:v>
                </c:pt>
                <c:pt idx="8">
                  <c:v>497.912844635571</c:v>
                </c:pt>
                <c:pt idx="9">
                  <c:v>574.770840694327</c:v>
                </c:pt>
                <c:pt idx="10">
                  <c:v>656.520452559759</c:v>
                </c:pt>
                <c:pt idx="11">
                  <c:v>619.172955142222</c:v>
                </c:pt>
                <c:pt idx="12">
                  <c:v>633.697739831152</c:v>
                </c:pt>
                <c:pt idx="13">
                  <c:v>631.317952756566</c:v>
                </c:pt>
                <c:pt idx="14">
                  <c:v>671.368128526613</c:v>
                </c:pt>
                <c:pt idx="15">
                  <c:v>666.431943175784</c:v>
                </c:pt>
                <c:pt idx="16">
                  <c:v>691.779464095678</c:v>
                </c:pt>
                <c:pt idx="17">
                  <c:v>770.598570560822</c:v>
                </c:pt>
                <c:pt idx="18">
                  <c:v>760.245819729521</c:v>
                </c:pt>
                <c:pt idx="19">
                  <c:v>748.203574887047</c:v>
                </c:pt>
                <c:pt idx="20">
                  <c:v>775.760683468675</c:v>
                </c:pt>
                <c:pt idx="21">
                  <c:v>796.259963342552</c:v>
                </c:pt>
                <c:pt idx="22">
                  <c:v>840.460572570408</c:v>
                </c:pt>
                <c:pt idx="23">
                  <c:v>886.173816468584</c:v>
                </c:pt>
                <c:pt idx="24">
                  <c:v>883.558808179175</c:v>
                </c:pt>
                <c:pt idx="25">
                  <c:v>915.477521843046</c:v>
                </c:pt>
                <c:pt idx="26">
                  <c:v>915.541249917251</c:v>
                </c:pt>
                <c:pt idx="27">
                  <c:v>922.178232166138</c:v>
                </c:pt>
                <c:pt idx="28">
                  <c:v>983.951839956605</c:v>
                </c:pt>
                <c:pt idx="29">
                  <c:v>1009.33254333595</c:v>
                </c:pt>
              </c:numCache>
            </c:numRef>
          </c:yVal>
          <c:smooth val="0"/>
        </c:ser>
        <c:dLbls>
          <c:showLegendKey val="0"/>
          <c:showVal val="0"/>
          <c:showCatName val="0"/>
          <c:showSerName val="0"/>
          <c:showPercent val="0"/>
          <c:showBubbleSize val="0"/>
        </c:dLbls>
        <c:axId val="1229886271"/>
        <c:axId val="1229402671"/>
      </c:scatterChart>
      <c:valAx>
        <c:axId val="1229886271"/>
        <c:scaling>
          <c:orientation val="minMax"/>
        </c:scaling>
        <c:delete val="0"/>
        <c:axPos val="b"/>
        <c:title>
          <c:tx>
            <c:rich>
              <a:bodyPr rot="0" spcFirstLastPara="0" vertOverflow="ellipsis" vert="horz" wrap="square" anchor="ctr" anchorCtr="1"/>
              <a:lstStyle/>
              <a:p>
                <a:pPr>
                  <a:defRPr lang="ru-RU" sz="1000" b="1" i="0" u="none" strike="noStrike" kern="1200" baseline="0">
                    <a:solidFill>
                      <a:schemeClr val="tx1"/>
                    </a:solidFill>
                    <a:latin typeface="+mn-lt"/>
                    <a:ea typeface="+mn-ea"/>
                    <a:cs typeface="+mn-cs"/>
                  </a:defRPr>
                </a:pPr>
                <a:r>
                  <a:rPr lang="ru-RU"/>
                  <a:t>Уровень использования производственных мощностей, %, </a:t>
                </a:r>
                <a:r>
                  <a:rPr lang="en-US"/>
                  <a:t>X9</a:t>
                </a:r>
                <a:endParaRPr lang="en-US"/>
              </a:p>
            </c:rich>
          </c:tx>
          <c:layout/>
          <c:overlay val="0"/>
        </c:title>
        <c:numFmt formatCode="General" sourceLinked="1"/>
        <c:majorTickMark val="out"/>
        <c:minorTickMark val="none"/>
        <c:tickLblPos val="nextTo"/>
        <c:txPr>
          <a:bodyPr rot="-60000000" spcFirstLastPara="0" vertOverflow="ellipsis" vert="horz" wrap="square" anchor="ctr" anchorCtr="1"/>
          <a:lstStyle/>
          <a:p>
            <a:pPr>
              <a:defRPr lang="ru-RU" sz="1000" b="0" i="0" u="none" strike="noStrike" kern="1200" baseline="0">
                <a:solidFill>
                  <a:schemeClr val="tx1"/>
                </a:solidFill>
                <a:latin typeface="+mn-lt"/>
                <a:ea typeface="+mn-ea"/>
                <a:cs typeface="+mn-cs"/>
              </a:defRPr>
            </a:pPr>
          </a:p>
        </c:txPr>
        <c:crossAx val="1229402671"/>
        <c:crosses val="autoZero"/>
        <c:crossBetween val="midCat"/>
      </c:valAx>
      <c:valAx>
        <c:axId val="1229402671"/>
        <c:scaling>
          <c:orientation val="minMax"/>
        </c:scaling>
        <c:delete val="0"/>
        <c:axPos val="l"/>
        <c:title>
          <c:tx>
            <c:rich>
              <a:bodyPr rot="-5400000" spcFirstLastPara="0" vertOverflow="ellipsis" vert="horz" wrap="square" anchor="ctr" anchorCtr="1"/>
              <a:lstStyle/>
              <a:p>
                <a:pPr>
                  <a:defRPr lang="ru-RU" sz="1000" b="1" i="0" u="none" strike="noStrike" kern="1200" baseline="0">
                    <a:solidFill>
                      <a:schemeClr val="tx1"/>
                    </a:solidFill>
                    <a:latin typeface="+mn-lt"/>
                    <a:ea typeface="+mn-ea"/>
                    <a:cs typeface="+mn-cs"/>
                  </a:defRPr>
                </a:pPr>
                <a:r>
                  <a:rPr lang="ru-RU"/>
                  <a:t>Прибыль, млн руб., </a:t>
                </a:r>
                <a:r>
                  <a:rPr lang="en-US"/>
                  <a:t>Y</a:t>
                </a:r>
                <a:endParaRPr lang="en-US"/>
              </a:p>
            </c:rich>
          </c:tx>
          <c:layout/>
          <c:overlay val="0"/>
        </c:title>
        <c:numFmt formatCode="General" sourceLinked="1"/>
        <c:majorTickMark val="out"/>
        <c:minorTickMark val="none"/>
        <c:tickLblPos val="nextTo"/>
        <c:txPr>
          <a:bodyPr rot="-60000000" spcFirstLastPara="0" vertOverflow="ellipsis" vert="horz" wrap="square" anchor="ctr" anchorCtr="1"/>
          <a:lstStyle/>
          <a:p>
            <a:pPr>
              <a:defRPr lang="ru-RU" sz="1000" b="0" i="0" u="none" strike="noStrike" kern="1200" baseline="0">
                <a:solidFill>
                  <a:schemeClr val="tx1"/>
                </a:solidFill>
                <a:latin typeface="+mn-lt"/>
                <a:ea typeface="+mn-ea"/>
                <a:cs typeface="+mn-cs"/>
              </a:defRPr>
            </a:pPr>
          </a:p>
        </c:txPr>
        <c:crossAx val="1229886271"/>
        <c:crosses val="autoZero"/>
        <c:crossBetween val="midCat"/>
      </c:valAx>
    </c:plotArea>
    <c:legend>
      <c:legendPos val="r"/>
      <c:layout/>
      <c:overlay val="0"/>
      <c:txPr>
        <a:bodyPr rot="0" spcFirstLastPara="0" vertOverflow="ellipsis" vert="horz" wrap="square" anchor="ctr" anchorCtr="1"/>
        <a:lstStyle/>
        <a:p>
          <a:pPr>
            <a:defRPr lang="ru-RU" sz="1000" b="0" i="0" u="none" strike="noStrike" kern="1200" baseline="0">
              <a:solidFill>
                <a:schemeClr val="tx1"/>
              </a:solidFill>
              <a:latin typeface="+mn-lt"/>
              <a:ea typeface="+mn-ea"/>
              <a:cs typeface="+mn-cs"/>
            </a:defRPr>
          </a:pPr>
        </a:p>
      </c:txPr>
    </c:legend>
    <c:plotVisOnly val="1"/>
    <c:dispBlanksAs val="gap"/>
    <c:showDLblsOverMax val="0"/>
    <c:extLst>
      <c:ext uri="{0b15fc19-7d7d-44ad-8c2d-2c3a37ce22c3}">
        <chartProps xmlns="https://web.wps.cn/et/2018/main" chartId="{ca9ac0e7-174b-4768-bc17-3f218ceb7b26}"/>
      </c:ext>
    </c:extLst>
  </c:chart>
  <c:txPr>
    <a:bodyPr/>
    <a:lstStyle/>
    <a:p>
      <a:pPr>
        <a:defRPr lang="ru-RU"/>
      </a:pPr>
    </a:p>
  </c:txPr>
  <c:printSettings>
    <c:headerFooter/>
    <c:pageMargins b="0.75" l="0.7" r="0.7" t="0.75" header="0.3" footer="0.3"/>
    <c:pageSetup/>
  </c:printSettings>
</c:chartSpace>
</file>

<file path=xl/charts/chart28.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0" vertOverflow="ellipsis" vert="horz" wrap="square" anchor="ctr" anchorCtr="1"/>
          <a:lstStyle/>
          <a:p>
            <a:pPr>
              <a:defRPr lang="ru-RU" sz="1800" b="1" i="0" u="none" strike="noStrike" kern="1200" baseline="0">
                <a:solidFill>
                  <a:schemeClr val="tx1"/>
                </a:solidFill>
                <a:latin typeface="+mn-lt"/>
                <a:ea typeface="+mn-ea"/>
                <a:cs typeface="+mn-cs"/>
              </a:defRPr>
            </a:pPr>
            <a:r>
              <a:rPr lang="ru-RU"/>
              <a:t>График нормального распределения</a:t>
            </a:r>
            <a:endParaRPr lang="ru-RU"/>
          </a:p>
        </c:rich>
      </c:tx>
      <c:layout/>
      <c:overlay val="0"/>
    </c:title>
    <c:autoTitleDeleted val="0"/>
    <c:plotArea>
      <c:layout/>
      <c:scatterChart>
        <c:scatterStyle val="marker"/>
        <c:varyColors val="0"/>
        <c:ser>
          <c:idx val="0"/>
          <c:order val="0"/>
          <c:spPr>
            <a:ln w="19050" cap="rnd" cmpd="sng" algn="ctr">
              <a:noFill/>
              <a:prstDash val="solid"/>
              <a:round/>
            </a:ln>
          </c:spPr>
          <c:dLbls>
            <c:delete val="1"/>
          </c:dLbls>
          <c:xVal>
            <c:numRef>
              <c:f>'Анализ данных 3'!$F$30:$F$59</c:f>
              <c:numCache>
                <c:formatCode>General</c:formatCode>
                <c:ptCount val="30"/>
                <c:pt idx="0">
                  <c:v>1.66666666666667</c:v>
                </c:pt>
                <c:pt idx="1">
                  <c:v>5</c:v>
                </c:pt>
                <c:pt idx="2">
                  <c:v>8.33333333333333</c:v>
                </c:pt>
                <c:pt idx="3">
                  <c:v>11.6666666666667</c:v>
                </c:pt>
                <c:pt idx="4">
                  <c:v>15</c:v>
                </c:pt>
                <c:pt idx="5">
                  <c:v>18.3333333333333</c:v>
                </c:pt>
                <c:pt idx="6">
                  <c:v>21.6666666666667</c:v>
                </c:pt>
                <c:pt idx="7">
                  <c:v>25</c:v>
                </c:pt>
                <c:pt idx="8">
                  <c:v>28.3333333333333</c:v>
                </c:pt>
                <c:pt idx="9">
                  <c:v>31.6666666666667</c:v>
                </c:pt>
                <c:pt idx="10">
                  <c:v>35</c:v>
                </c:pt>
                <c:pt idx="11">
                  <c:v>38.3333333333333</c:v>
                </c:pt>
                <c:pt idx="12">
                  <c:v>41.6666666666667</c:v>
                </c:pt>
                <c:pt idx="13">
                  <c:v>45</c:v>
                </c:pt>
                <c:pt idx="14">
                  <c:v>48.3333333333333</c:v>
                </c:pt>
                <c:pt idx="15">
                  <c:v>51.6666666666667</c:v>
                </c:pt>
                <c:pt idx="16">
                  <c:v>55</c:v>
                </c:pt>
                <c:pt idx="17">
                  <c:v>58.3333333333333</c:v>
                </c:pt>
                <c:pt idx="18">
                  <c:v>61.6666666666667</c:v>
                </c:pt>
                <c:pt idx="19">
                  <c:v>65</c:v>
                </c:pt>
                <c:pt idx="20">
                  <c:v>68.3333333333333</c:v>
                </c:pt>
                <c:pt idx="21">
                  <c:v>71.6666666666667</c:v>
                </c:pt>
                <c:pt idx="22">
                  <c:v>75</c:v>
                </c:pt>
                <c:pt idx="23">
                  <c:v>78.3333333333333</c:v>
                </c:pt>
                <c:pt idx="24">
                  <c:v>81.6666666666667</c:v>
                </c:pt>
                <c:pt idx="25">
                  <c:v>85</c:v>
                </c:pt>
                <c:pt idx="26">
                  <c:v>88.3333333333333</c:v>
                </c:pt>
                <c:pt idx="27">
                  <c:v>91.6666666666667</c:v>
                </c:pt>
                <c:pt idx="28">
                  <c:v>95</c:v>
                </c:pt>
                <c:pt idx="29">
                  <c:v>98.3333333333333</c:v>
                </c:pt>
              </c:numCache>
            </c:numRef>
          </c:xVal>
          <c:yVal>
            <c:numRef>
              <c:f>'Анализ данных 3'!$G$30:$G$59</c:f>
              <c:numCache>
                <c:formatCode>General</c:formatCode>
                <c:ptCount val="30"/>
                <c:pt idx="0">
                  <c:v>335</c:v>
                </c:pt>
                <c:pt idx="1">
                  <c:v>336</c:v>
                </c:pt>
                <c:pt idx="2">
                  <c:v>388</c:v>
                </c:pt>
                <c:pt idx="3">
                  <c:v>420</c:v>
                </c:pt>
                <c:pt idx="4">
                  <c:v>450</c:v>
                </c:pt>
                <c:pt idx="5">
                  <c:v>450</c:v>
                </c:pt>
                <c:pt idx="6">
                  <c:v>500</c:v>
                </c:pt>
                <c:pt idx="7">
                  <c:v>520</c:v>
                </c:pt>
                <c:pt idx="8">
                  <c:v>550</c:v>
                </c:pt>
                <c:pt idx="9">
                  <c:v>600</c:v>
                </c:pt>
                <c:pt idx="10">
                  <c:v>605</c:v>
                </c:pt>
                <c:pt idx="11">
                  <c:v>620</c:v>
                </c:pt>
                <c:pt idx="12">
                  <c:v>630</c:v>
                </c:pt>
                <c:pt idx="13">
                  <c:v>655</c:v>
                </c:pt>
                <c:pt idx="14">
                  <c:v>690</c:v>
                </c:pt>
                <c:pt idx="15">
                  <c:v>690</c:v>
                </c:pt>
                <c:pt idx="16">
                  <c:v>710</c:v>
                </c:pt>
                <c:pt idx="17">
                  <c:v>720</c:v>
                </c:pt>
                <c:pt idx="18">
                  <c:v>745</c:v>
                </c:pt>
                <c:pt idx="19">
                  <c:v>760</c:v>
                </c:pt>
                <c:pt idx="20">
                  <c:v>780</c:v>
                </c:pt>
                <c:pt idx="21">
                  <c:v>840</c:v>
                </c:pt>
                <c:pt idx="22">
                  <c:v>845</c:v>
                </c:pt>
                <c:pt idx="23">
                  <c:v>850</c:v>
                </c:pt>
                <c:pt idx="24">
                  <c:v>860</c:v>
                </c:pt>
                <c:pt idx="25">
                  <c:v>890</c:v>
                </c:pt>
                <c:pt idx="26">
                  <c:v>940</c:v>
                </c:pt>
                <c:pt idx="27">
                  <c:v>960</c:v>
                </c:pt>
                <c:pt idx="28">
                  <c:v>980</c:v>
                </c:pt>
                <c:pt idx="29">
                  <c:v>990</c:v>
                </c:pt>
              </c:numCache>
            </c:numRef>
          </c:yVal>
          <c:smooth val="0"/>
        </c:ser>
        <c:dLbls>
          <c:showLegendKey val="0"/>
          <c:showVal val="0"/>
          <c:showCatName val="0"/>
          <c:showSerName val="0"/>
          <c:showPercent val="0"/>
          <c:showBubbleSize val="0"/>
        </c:dLbls>
        <c:axId val="1229886271"/>
        <c:axId val="1229405167"/>
      </c:scatterChart>
      <c:valAx>
        <c:axId val="1229886271"/>
        <c:scaling>
          <c:orientation val="minMax"/>
        </c:scaling>
        <c:delete val="0"/>
        <c:axPos val="b"/>
        <c:title>
          <c:tx>
            <c:rich>
              <a:bodyPr rot="0" spcFirstLastPara="0" vertOverflow="ellipsis" vert="horz" wrap="square" anchor="ctr" anchorCtr="1"/>
              <a:lstStyle/>
              <a:p>
                <a:pPr>
                  <a:defRPr lang="ru-RU" sz="1000" b="1" i="0" u="none" strike="noStrike" kern="1200" baseline="0">
                    <a:solidFill>
                      <a:schemeClr val="tx1"/>
                    </a:solidFill>
                    <a:latin typeface="+mn-lt"/>
                    <a:ea typeface="+mn-ea"/>
                    <a:cs typeface="+mn-cs"/>
                  </a:defRPr>
                </a:pPr>
                <a:r>
                  <a:rPr lang="ru-RU"/>
                  <a:t>Персентиль выборки</a:t>
                </a:r>
                <a:endParaRPr lang="ru-RU"/>
              </a:p>
            </c:rich>
          </c:tx>
          <c:layout/>
          <c:overlay val="0"/>
        </c:title>
        <c:numFmt formatCode="General" sourceLinked="1"/>
        <c:majorTickMark val="out"/>
        <c:minorTickMark val="none"/>
        <c:tickLblPos val="nextTo"/>
        <c:txPr>
          <a:bodyPr rot="-60000000" spcFirstLastPara="0" vertOverflow="ellipsis" vert="horz" wrap="square" anchor="ctr" anchorCtr="1"/>
          <a:lstStyle/>
          <a:p>
            <a:pPr>
              <a:defRPr lang="ru-RU" sz="1000" b="0" i="0" u="none" strike="noStrike" kern="1200" baseline="0">
                <a:solidFill>
                  <a:schemeClr val="tx1"/>
                </a:solidFill>
                <a:latin typeface="+mn-lt"/>
                <a:ea typeface="+mn-ea"/>
                <a:cs typeface="+mn-cs"/>
              </a:defRPr>
            </a:pPr>
          </a:p>
        </c:txPr>
        <c:crossAx val="1229405167"/>
        <c:crosses val="autoZero"/>
        <c:crossBetween val="midCat"/>
      </c:valAx>
      <c:valAx>
        <c:axId val="1229405167"/>
        <c:scaling>
          <c:orientation val="minMax"/>
        </c:scaling>
        <c:delete val="0"/>
        <c:axPos val="l"/>
        <c:title>
          <c:tx>
            <c:rich>
              <a:bodyPr rot="-5400000" spcFirstLastPara="0" vertOverflow="ellipsis" vert="horz" wrap="square" anchor="ctr" anchorCtr="1"/>
              <a:lstStyle/>
              <a:p>
                <a:pPr>
                  <a:defRPr lang="ru-RU" sz="1000" b="1" i="0" u="none" strike="noStrike" kern="1200" baseline="0">
                    <a:solidFill>
                      <a:schemeClr val="tx1"/>
                    </a:solidFill>
                    <a:latin typeface="+mn-lt"/>
                    <a:ea typeface="+mn-ea"/>
                    <a:cs typeface="+mn-cs"/>
                  </a:defRPr>
                </a:pPr>
                <a:r>
                  <a:rPr lang="ru-RU"/>
                  <a:t>Прибыль, млн руб., </a:t>
                </a:r>
                <a:r>
                  <a:rPr lang="en-US"/>
                  <a:t>Y</a:t>
                </a:r>
                <a:endParaRPr lang="en-US"/>
              </a:p>
            </c:rich>
          </c:tx>
          <c:layout/>
          <c:overlay val="0"/>
        </c:title>
        <c:numFmt formatCode="General" sourceLinked="1"/>
        <c:majorTickMark val="out"/>
        <c:minorTickMark val="none"/>
        <c:tickLblPos val="nextTo"/>
        <c:txPr>
          <a:bodyPr rot="-60000000" spcFirstLastPara="0" vertOverflow="ellipsis" vert="horz" wrap="square" anchor="ctr" anchorCtr="1"/>
          <a:lstStyle/>
          <a:p>
            <a:pPr>
              <a:defRPr lang="ru-RU" sz="1000" b="0" i="0" u="none" strike="noStrike" kern="1200" baseline="0">
                <a:solidFill>
                  <a:schemeClr val="tx1"/>
                </a:solidFill>
                <a:latin typeface="+mn-lt"/>
                <a:ea typeface="+mn-ea"/>
                <a:cs typeface="+mn-cs"/>
              </a:defRPr>
            </a:pPr>
          </a:p>
        </c:txPr>
        <c:crossAx val="1229886271"/>
        <c:crosses val="autoZero"/>
        <c:crossBetween val="midCat"/>
      </c:valAx>
    </c:plotArea>
    <c:plotVisOnly val="1"/>
    <c:dispBlanksAs val="gap"/>
    <c:showDLblsOverMax val="0"/>
    <c:extLst>
      <c:ext uri="{0b15fc19-7d7d-44ad-8c2d-2c3a37ce22c3}">
        <chartProps xmlns="https://web.wps.cn/et/2018/main" chartId="{436f4234-5cc0-4238-af8a-7e8d18487f07}"/>
      </c:ext>
    </c:extLst>
  </c:chart>
  <c:txPr>
    <a:bodyPr/>
    <a:lstStyle/>
    <a:p>
      <a:pPr>
        <a:defRPr lang="ru-RU"/>
      </a:pPr>
    </a:p>
  </c:txPr>
  <c:printSettings>
    <c:headerFooter/>
    <c:pageMargins b="0.75" l="0.7" r="0.7" t="0.75" header="0.3" footer="0.3"/>
    <c:pageSetup/>
  </c:printSettings>
</c:chartSpace>
</file>

<file path=xl/charts/chart29.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0" vertOverflow="ellipsis" vert="horz" wrap="square" anchor="ctr" anchorCtr="1"/>
          <a:lstStyle/>
          <a:p>
            <a:pPr>
              <a:defRPr lang="ru-RU" sz="1800" b="1" i="0" u="none" strike="noStrike" kern="1200" baseline="0">
                <a:solidFill>
                  <a:schemeClr val="tx1"/>
                </a:solidFill>
                <a:latin typeface="+mn-lt"/>
                <a:ea typeface="+mn-ea"/>
                <a:cs typeface="+mn-cs"/>
              </a:defRPr>
            </a:pPr>
            <a:r>
              <a:rPr lang="ru-RU"/>
              <a:t>Инвестиции в основной капитал, млн руб., </a:t>
            </a:r>
            <a:r>
              <a:rPr lang="en-US"/>
              <a:t>X1 </a:t>
            </a:r>
            <a:r>
              <a:rPr lang="ru-RU"/>
              <a:t>График остатков</a:t>
            </a:r>
            <a:endParaRPr lang="ru-RU"/>
          </a:p>
        </c:rich>
      </c:tx>
      <c:layout/>
      <c:overlay val="0"/>
    </c:title>
    <c:autoTitleDeleted val="0"/>
    <c:plotArea>
      <c:layout/>
      <c:scatterChart>
        <c:scatterStyle val="marker"/>
        <c:varyColors val="0"/>
        <c:ser>
          <c:idx val="0"/>
          <c:order val="0"/>
          <c:spPr>
            <a:ln w="19050" cap="rnd" cmpd="sng" algn="ctr">
              <a:noFill/>
              <a:prstDash val="solid"/>
              <a:round/>
            </a:ln>
          </c:spPr>
          <c:dLbls>
            <c:delete val="1"/>
          </c:dLbls>
          <c:xVal>
            <c:numRef>
              <c:f>'Исходные данные 4'!$C$2:$C$31</c:f>
              <c:numCache>
                <c:formatCode>General</c:formatCode>
                <c:ptCount val="30"/>
                <c:pt idx="0">
                  <c:v>145</c:v>
                </c:pt>
                <c:pt idx="1">
                  <c:v>150</c:v>
                </c:pt>
                <c:pt idx="2">
                  <c:v>160</c:v>
                </c:pt>
                <c:pt idx="3">
                  <c:v>165</c:v>
                </c:pt>
                <c:pt idx="4">
                  <c:v>165</c:v>
                </c:pt>
                <c:pt idx="5">
                  <c:v>164</c:v>
                </c:pt>
                <c:pt idx="6">
                  <c:v>170</c:v>
                </c:pt>
                <c:pt idx="7">
                  <c:v>175</c:v>
                </c:pt>
                <c:pt idx="8">
                  <c:v>180</c:v>
                </c:pt>
                <c:pt idx="9">
                  <c:v>192</c:v>
                </c:pt>
                <c:pt idx="10">
                  <c:v>195</c:v>
                </c:pt>
                <c:pt idx="11">
                  <c:v>196</c:v>
                </c:pt>
                <c:pt idx="12">
                  <c:v>199</c:v>
                </c:pt>
                <c:pt idx="13">
                  <c:v>200</c:v>
                </c:pt>
                <c:pt idx="14">
                  <c:v>200</c:v>
                </c:pt>
                <c:pt idx="15">
                  <c:v>205</c:v>
                </c:pt>
                <c:pt idx="16">
                  <c:v>210</c:v>
                </c:pt>
                <c:pt idx="17">
                  <c:v>220</c:v>
                </c:pt>
                <c:pt idx="18">
                  <c:v>230</c:v>
                </c:pt>
                <c:pt idx="19">
                  <c:v>240</c:v>
                </c:pt>
                <c:pt idx="20">
                  <c:v>250</c:v>
                </c:pt>
                <c:pt idx="21">
                  <c:v>260</c:v>
                </c:pt>
                <c:pt idx="22">
                  <c:v>270</c:v>
                </c:pt>
                <c:pt idx="23">
                  <c:v>275</c:v>
                </c:pt>
                <c:pt idx="24">
                  <c:v>280</c:v>
                </c:pt>
                <c:pt idx="25">
                  <c:v>290</c:v>
                </c:pt>
                <c:pt idx="26">
                  <c:v>295</c:v>
                </c:pt>
                <c:pt idx="27">
                  <c:v>300</c:v>
                </c:pt>
                <c:pt idx="28">
                  <c:v>380</c:v>
                </c:pt>
                <c:pt idx="29">
                  <c:v>410</c:v>
                </c:pt>
              </c:numCache>
            </c:numRef>
          </c:xVal>
          <c:yVal>
            <c:numRef>
              <c:f>'Анализ данных 4'!$C$29:$C$58</c:f>
              <c:numCache>
                <c:formatCode>General</c:formatCode>
                <c:ptCount val="30"/>
                <c:pt idx="0">
                  <c:v>-29.703657807909</c:v>
                </c:pt>
                <c:pt idx="1">
                  <c:v>-60.1225697330592</c:v>
                </c:pt>
                <c:pt idx="2">
                  <c:v>-12.2653970580129</c:v>
                </c:pt>
                <c:pt idx="3">
                  <c:v>-7.16639235989112</c:v>
                </c:pt>
                <c:pt idx="4">
                  <c:v>-5.19115785683596</c:v>
                </c:pt>
                <c:pt idx="5">
                  <c:v>6.58363983951807</c:v>
                </c:pt>
                <c:pt idx="6">
                  <c:v>15.6391126818643</c:v>
                </c:pt>
                <c:pt idx="7">
                  <c:v>31.4427032672253</c:v>
                </c:pt>
                <c:pt idx="8">
                  <c:v>53.8175901551565</c:v>
                </c:pt>
                <c:pt idx="9">
                  <c:v>26.5672866756099</c:v>
                </c:pt>
                <c:pt idx="10">
                  <c:v>-51.6683275027946</c:v>
                </c:pt>
                <c:pt idx="11">
                  <c:v>0.973698574871378</c:v>
                </c:pt>
                <c:pt idx="12">
                  <c:v>-2.36276858378756</c:v>
                </c:pt>
                <c:pt idx="13">
                  <c:v>23.6557600565309</c:v>
                </c:pt>
                <c:pt idx="14">
                  <c:v>19.9604619540952</c:v>
                </c:pt>
                <c:pt idx="15">
                  <c:v>23.1642196787864</c:v>
                </c:pt>
                <c:pt idx="16">
                  <c:v>19.376637102468</c:v>
                </c:pt>
                <c:pt idx="17">
                  <c:v>-49.8166325274042</c:v>
                </c:pt>
                <c:pt idx="18">
                  <c:v>-16.9655142040833</c:v>
                </c:pt>
                <c:pt idx="19">
                  <c:v>7.96993884061158</c:v>
                </c:pt>
                <c:pt idx="20">
                  <c:v>2.84248487180662</c:v>
                </c:pt>
                <c:pt idx="21">
                  <c:v>40.8673120072538</c:v>
                </c:pt>
                <c:pt idx="22">
                  <c:v>0.400640399622034</c:v>
                </c:pt>
                <c:pt idx="23">
                  <c:v>-40.3899451220657</c:v>
                </c:pt>
                <c:pt idx="24">
                  <c:v>-20.9460885552438</c:v>
                </c:pt>
                <c:pt idx="25">
                  <c:v>-21.3126312788265</c:v>
                </c:pt>
                <c:pt idx="26">
                  <c:v>25.9880226080022</c:v>
                </c:pt>
                <c:pt idx="27">
                  <c:v>42.2873651713012</c:v>
                </c:pt>
                <c:pt idx="28">
                  <c:v>-3.43217424634565</c:v>
                </c:pt>
                <c:pt idx="29">
                  <c:v>-20.1936170484561</c:v>
                </c:pt>
              </c:numCache>
            </c:numRef>
          </c:yVal>
          <c:smooth val="0"/>
        </c:ser>
        <c:dLbls>
          <c:showLegendKey val="0"/>
          <c:showVal val="0"/>
          <c:showCatName val="0"/>
          <c:showSerName val="0"/>
          <c:showPercent val="0"/>
          <c:showBubbleSize val="0"/>
        </c:dLbls>
        <c:axId val="1158002111"/>
        <c:axId val="1233330143"/>
      </c:scatterChart>
      <c:valAx>
        <c:axId val="1158002111"/>
        <c:scaling>
          <c:orientation val="minMax"/>
        </c:scaling>
        <c:delete val="0"/>
        <c:axPos val="b"/>
        <c:title>
          <c:tx>
            <c:rich>
              <a:bodyPr rot="0" spcFirstLastPara="0" vertOverflow="ellipsis" vert="horz" wrap="square" anchor="ctr" anchorCtr="1"/>
              <a:lstStyle/>
              <a:p>
                <a:pPr>
                  <a:defRPr lang="ru-RU" sz="1000" b="1" i="0" u="none" strike="noStrike" kern="1200" baseline="0">
                    <a:solidFill>
                      <a:schemeClr val="tx1"/>
                    </a:solidFill>
                    <a:latin typeface="+mn-lt"/>
                    <a:ea typeface="+mn-ea"/>
                    <a:cs typeface="+mn-cs"/>
                  </a:defRPr>
                </a:pPr>
                <a:r>
                  <a:rPr lang="ru-RU"/>
                  <a:t>Инвестиции в основной капитал, млн руб., </a:t>
                </a:r>
                <a:r>
                  <a:rPr lang="en-US"/>
                  <a:t>X1</a:t>
                </a:r>
                <a:endParaRPr lang="en-US"/>
              </a:p>
            </c:rich>
          </c:tx>
          <c:layout/>
          <c:overlay val="0"/>
        </c:title>
        <c:numFmt formatCode="General" sourceLinked="1"/>
        <c:majorTickMark val="out"/>
        <c:minorTickMark val="none"/>
        <c:tickLblPos val="nextTo"/>
        <c:txPr>
          <a:bodyPr rot="-60000000" spcFirstLastPara="0" vertOverflow="ellipsis" vert="horz" wrap="square" anchor="ctr" anchorCtr="1"/>
          <a:lstStyle/>
          <a:p>
            <a:pPr>
              <a:defRPr lang="ru-RU" sz="1000" b="0" i="0" u="none" strike="noStrike" kern="1200" baseline="0">
                <a:solidFill>
                  <a:schemeClr val="tx1"/>
                </a:solidFill>
                <a:latin typeface="+mn-lt"/>
                <a:ea typeface="+mn-ea"/>
                <a:cs typeface="+mn-cs"/>
              </a:defRPr>
            </a:pPr>
          </a:p>
        </c:txPr>
        <c:crossAx val="1233330143"/>
        <c:crosses val="autoZero"/>
        <c:crossBetween val="midCat"/>
      </c:valAx>
      <c:valAx>
        <c:axId val="1233330143"/>
        <c:scaling>
          <c:orientation val="minMax"/>
        </c:scaling>
        <c:delete val="0"/>
        <c:axPos val="l"/>
        <c:title>
          <c:tx>
            <c:rich>
              <a:bodyPr rot="-5400000" spcFirstLastPara="0" vertOverflow="ellipsis" vert="horz" wrap="square" anchor="ctr" anchorCtr="1"/>
              <a:lstStyle/>
              <a:p>
                <a:pPr>
                  <a:defRPr lang="ru-RU" sz="1000" b="1" i="0" u="none" strike="noStrike" kern="1200" baseline="0">
                    <a:solidFill>
                      <a:schemeClr val="tx1"/>
                    </a:solidFill>
                    <a:latin typeface="+mn-lt"/>
                    <a:ea typeface="+mn-ea"/>
                    <a:cs typeface="+mn-cs"/>
                  </a:defRPr>
                </a:pPr>
                <a:r>
                  <a:rPr lang="ru-RU"/>
                  <a:t>Остатки</a:t>
                </a:r>
                <a:endParaRPr lang="ru-RU"/>
              </a:p>
            </c:rich>
          </c:tx>
          <c:layout/>
          <c:overlay val="0"/>
        </c:title>
        <c:numFmt formatCode="General" sourceLinked="1"/>
        <c:majorTickMark val="out"/>
        <c:minorTickMark val="none"/>
        <c:tickLblPos val="nextTo"/>
        <c:txPr>
          <a:bodyPr rot="-60000000" spcFirstLastPara="0" vertOverflow="ellipsis" vert="horz" wrap="square" anchor="ctr" anchorCtr="1"/>
          <a:lstStyle/>
          <a:p>
            <a:pPr>
              <a:defRPr lang="ru-RU" sz="1000" b="0" i="0" u="none" strike="noStrike" kern="1200" baseline="0">
                <a:solidFill>
                  <a:schemeClr val="tx1"/>
                </a:solidFill>
                <a:latin typeface="+mn-lt"/>
                <a:ea typeface="+mn-ea"/>
                <a:cs typeface="+mn-cs"/>
              </a:defRPr>
            </a:pPr>
          </a:p>
        </c:txPr>
        <c:crossAx val="1158002111"/>
        <c:crosses val="autoZero"/>
        <c:crossBetween val="midCat"/>
      </c:valAx>
    </c:plotArea>
    <c:plotVisOnly val="1"/>
    <c:dispBlanksAs val="gap"/>
    <c:showDLblsOverMax val="0"/>
    <c:extLst>
      <c:ext uri="{0b15fc19-7d7d-44ad-8c2d-2c3a37ce22c3}">
        <chartProps xmlns="https://web.wps.cn/et/2018/main" chartId="{82144375-c589-42ab-adf6-a9afffea3bab}"/>
      </c:ext>
    </c:extLst>
  </c:chart>
  <c:txPr>
    <a:bodyPr/>
    <a:lstStyle/>
    <a:p>
      <a:pPr>
        <a:defRPr lang="ru-RU"/>
      </a:pPr>
    </a:p>
  </c:txPr>
  <c:printSettings>
    <c:headerFooter/>
    <c:pageMargins b="0.75" l="0.7" r="0.7" t="0.75" header="0.3" footer="0.3"/>
    <c:pageSetup/>
  </c:printSettings>
</c:chartSpace>
</file>

<file path=xl/charts/chart30.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0" vertOverflow="ellipsis" vert="horz" wrap="square" anchor="ctr" anchorCtr="1"/>
          <a:lstStyle/>
          <a:p>
            <a:pPr>
              <a:defRPr lang="ru-RU" sz="1800" b="1" i="0" u="none" strike="noStrike" kern="1200" baseline="0">
                <a:solidFill>
                  <a:schemeClr val="tx1"/>
                </a:solidFill>
                <a:latin typeface="+mn-lt"/>
                <a:ea typeface="+mn-ea"/>
                <a:cs typeface="+mn-cs"/>
              </a:defRPr>
            </a:pPr>
            <a:r>
              <a:rPr lang="ru-RU"/>
              <a:t>Среднесписочная численность работников, чел., </a:t>
            </a:r>
            <a:r>
              <a:rPr lang="en-US"/>
              <a:t>X2 </a:t>
            </a:r>
            <a:r>
              <a:rPr lang="ru-RU"/>
              <a:t>График остатков</a:t>
            </a:r>
            <a:endParaRPr lang="ru-RU"/>
          </a:p>
        </c:rich>
      </c:tx>
      <c:layout/>
      <c:overlay val="0"/>
    </c:title>
    <c:autoTitleDeleted val="0"/>
    <c:plotArea>
      <c:layout/>
      <c:scatterChart>
        <c:scatterStyle val="marker"/>
        <c:varyColors val="0"/>
        <c:ser>
          <c:idx val="0"/>
          <c:order val="0"/>
          <c:spPr>
            <a:ln w="19050" cap="rnd" cmpd="sng" algn="ctr">
              <a:noFill/>
              <a:prstDash val="solid"/>
              <a:round/>
            </a:ln>
          </c:spPr>
          <c:dLbls>
            <c:delete val="1"/>
          </c:dLbls>
          <c:xVal>
            <c:numRef>
              <c:f>'Исходные данные 4'!$D$2:$D$31</c:f>
              <c:numCache>
                <c:formatCode>General</c:formatCode>
                <c:ptCount val="30"/>
                <c:pt idx="0">
                  <c:v>500</c:v>
                </c:pt>
                <c:pt idx="1">
                  <c:v>510</c:v>
                </c:pt>
                <c:pt idx="2">
                  <c:v>509</c:v>
                </c:pt>
                <c:pt idx="3">
                  <c:v>515</c:v>
                </c:pt>
                <c:pt idx="4">
                  <c:v>520</c:v>
                </c:pt>
                <c:pt idx="5">
                  <c:v>519</c:v>
                </c:pt>
                <c:pt idx="6">
                  <c:v>525</c:v>
                </c:pt>
                <c:pt idx="7">
                  <c:v>526</c:v>
                </c:pt>
                <c:pt idx="8">
                  <c:v>530</c:v>
                </c:pt>
                <c:pt idx="9">
                  <c:v>550</c:v>
                </c:pt>
                <c:pt idx="10">
                  <c:v>570</c:v>
                </c:pt>
                <c:pt idx="11">
                  <c:v>560</c:v>
                </c:pt>
                <c:pt idx="12">
                  <c:v>555</c:v>
                </c:pt>
                <c:pt idx="13">
                  <c:v>555</c:v>
                </c:pt>
                <c:pt idx="14">
                  <c:v>560</c:v>
                </c:pt>
                <c:pt idx="15">
                  <c:v>560</c:v>
                </c:pt>
                <c:pt idx="16">
                  <c:v>562</c:v>
                </c:pt>
                <c:pt idx="17">
                  <c:v>580</c:v>
                </c:pt>
                <c:pt idx="18">
                  <c:v>581</c:v>
                </c:pt>
                <c:pt idx="19">
                  <c:v>582</c:v>
                </c:pt>
                <c:pt idx="20">
                  <c:v>585</c:v>
                </c:pt>
                <c:pt idx="21">
                  <c:v>590</c:v>
                </c:pt>
                <c:pt idx="22">
                  <c:v>601</c:v>
                </c:pt>
                <c:pt idx="23">
                  <c:v>612</c:v>
                </c:pt>
                <c:pt idx="24">
                  <c:v>610</c:v>
                </c:pt>
                <c:pt idx="25">
                  <c:v>611</c:v>
                </c:pt>
                <c:pt idx="26">
                  <c:v>615</c:v>
                </c:pt>
                <c:pt idx="27">
                  <c:v>620</c:v>
                </c:pt>
                <c:pt idx="28">
                  <c:v>621</c:v>
                </c:pt>
                <c:pt idx="29">
                  <c:v>622</c:v>
                </c:pt>
              </c:numCache>
            </c:numRef>
          </c:xVal>
          <c:yVal>
            <c:numRef>
              <c:f>'Анализ данных 4'!$C$29:$C$58</c:f>
              <c:numCache>
                <c:formatCode>General</c:formatCode>
                <c:ptCount val="30"/>
                <c:pt idx="0">
                  <c:v>-29.703657807909</c:v>
                </c:pt>
                <c:pt idx="1">
                  <c:v>-60.1225697330592</c:v>
                </c:pt>
                <c:pt idx="2">
                  <c:v>-12.2653970580129</c:v>
                </c:pt>
                <c:pt idx="3">
                  <c:v>-7.16639235989112</c:v>
                </c:pt>
                <c:pt idx="4">
                  <c:v>-5.19115785683596</c:v>
                </c:pt>
                <c:pt idx="5">
                  <c:v>6.58363983951807</c:v>
                </c:pt>
                <c:pt idx="6">
                  <c:v>15.6391126818643</c:v>
                </c:pt>
                <c:pt idx="7">
                  <c:v>31.4427032672253</c:v>
                </c:pt>
                <c:pt idx="8">
                  <c:v>53.8175901551565</c:v>
                </c:pt>
                <c:pt idx="9">
                  <c:v>26.5672866756099</c:v>
                </c:pt>
                <c:pt idx="10">
                  <c:v>-51.6683275027946</c:v>
                </c:pt>
                <c:pt idx="11">
                  <c:v>0.973698574871378</c:v>
                </c:pt>
                <c:pt idx="12">
                  <c:v>-2.36276858378756</c:v>
                </c:pt>
                <c:pt idx="13">
                  <c:v>23.6557600565309</c:v>
                </c:pt>
                <c:pt idx="14">
                  <c:v>19.9604619540952</c:v>
                </c:pt>
                <c:pt idx="15">
                  <c:v>23.1642196787864</c:v>
                </c:pt>
                <c:pt idx="16">
                  <c:v>19.376637102468</c:v>
                </c:pt>
                <c:pt idx="17">
                  <c:v>-49.8166325274042</c:v>
                </c:pt>
                <c:pt idx="18">
                  <c:v>-16.9655142040833</c:v>
                </c:pt>
                <c:pt idx="19">
                  <c:v>7.96993884061158</c:v>
                </c:pt>
                <c:pt idx="20">
                  <c:v>2.84248487180662</c:v>
                </c:pt>
                <c:pt idx="21">
                  <c:v>40.8673120072538</c:v>
                </c:pt>
                <c:pt idx="22">
                  <c:v>0.400640399622034</c:v>
                </c:pt>
                <c:pt idx="23">
                  <c:v>-40.3899451220657</c:v>
                </c:pt>
                <c:pt idx="24">
                  <c:v>-20.9460885552438</c:v>
                </c:pt>
                <c:pt idx="25">
                  <c:v>-21.3126312788265</c:v>
                </c:pt>
                <c:pt idx="26">
                  <c:v>25.9880226080022</c:v>
                </c:pt>
                <c:pt idx="27">
                  <c:v>42.2873651713012</c:v>
                </c:pt>
                <c:pt idx="28">
                  <c:v>-3.43217424634565</c:v>
                </c:pt>
                <c:pt idx="29">
                  <c:v>-20.1936170484561</c:v>
                </c:pt>
              </c:numCache>
            </c:numRef>
          </c:yVal>
          <c:smooth val="0"/>
        </c:ser>
        <c:dLbls>
          <c:showLegendKey val="0"/>
          <c:showVal val="0"/>
          <c:showCatName val="0"/>
          <c:showSerName val="0"/>
          <c:showPercent val="0"/>
          <c:showBubbleSize val="0"/>
        </c:dLbls>
        <c:axId val="1158002111"/>
        <c:axId val="1233329311"/>
      </c:scatterChart>
      <c:valAx>
        <c:axId val="1158002111"/>
        <c:scaling>
          <c:orientation val="minMax"/>
        </c:scaling>
        <c:delete val="0"/>
        <c:axPos val="b"/>
        <c:title>
          <c:tx>
            <c:rich>
              <a:bodyPr rot="0" spcFirstLastPara="0" vertOverflow="ellipsis" vert="horz" wrap="square" anchor="ctr" anchorCtr="1"/>
              <a:lstStyle/>
              <a:p>
                <a:pPr>
                  <a:defRPr lang="ru-RU" sz="1000" b="1" i="0" u="none" strike="noStrike" kern="1200" baseline="0">
                    <a:solidFill>
                      <a:schemeClr val="tx1"/>
                    </a:solidFill>
                    <a:latin typeface="+mn-lt"/>
                    <a:ea typeface="+mn-ea"/>
                    <a:cs typeface="+mn-cs"/>
                  </a:defRPr>
                </a:pPr>
                <a:r>
                  <a:rPr lang="ru-RU"/>
                  <a:t>Среднесписочная численность работников, чел., </a:t>
                </a:r>
                <a:r>
                  <a:rPr lang="en-US"/>
                  <a:t>X2</a:t>
                </a:r>
                <a:endParaRPr lang="en-US"/>
              </a:p>
            </c:rich>
          </c:tx>
          <c:layout/>
          <c:overlay val="0"/>
        </c:title>
        <c:numFmt formatCode="General" sourceLinked="1"/>
        <c:majorTickMark val="out"/>
        <c:minorTickMark val="none"/>
        <c:tickLblPos val="nextTo"/>
        <c:txPr>
          <a:bodyPr rot="-60000000" spcFirstLastPara="0" vertOverflow="ellipsis" vert="horz" wrap="square" anchor="ctr" anchorCtr="1"/>
          <a:lstStyle/>
          <a:p>
            <a:pPr>
              <a:defRPr lang="ru-RU" sz="1000" b="0" i="0" u="none" strike="noStrike" kern="1200" baseline="0">
                <a:solidFill>
                  <a:schemeClr val="tx1"/>
                </a:solidFill>
                <a:latin typeface="+mn-lt"/>
                <a:ea typeface="+mn-ea"/>
                <a:cs typeface="+mn-cs"/>
              </a:defRPr>
            </a:pPr>
          </a:p>
        </c:txPr>
        <c:crossAx val="1233329311"/>
        <c:crosses val="autoZero"/>
        <c:crossBetween val="midCat"/>
      </c:valAx>
      <c:valAx>
        <c:axId val="1233329311"/>
        <c:scaling>
          <c:orientation val="minMax"/>
        </c:scaling>
        <c:delete val="0"/>
        <c:axPos val="l"/>
        <c:title>
          <c:tx>
            <c:rich>
              <a:bodyPr rot="-5400000" spcFirstLastPara="0" vertOverflow="ellipsis" vert="horz" wrap="square" anchor="ctr" anchorCtr="1"/>
              <a:lstStyle/>
              <a:p>
                <a:pPr>
                  <a:defRPr lang="ru-RU" sz="1000" b="1" i="0" u="none" strike="noStrike" kern="1200" baseline="0">
                    <a:solidFill>
                      <a:schemeClr val="tx1"/>
                    </a:solidFill>
                    <a:latin typeface="+mn-lt"/>
                    <a:ea typeface="+mn-ea"/>
                    <a:cs typeface="+mn-cs"/>
                  </a:defRPr>
                </a:pPr>
                <a:r>
                  <a:rPr lang="ru-RU"/>
                  <a:t>Остатки</a:t>
                </a:r>
                <a:endParaRPr lang="ru-RU"/>
              </a:p>
            </c:rich>
          </c:tx>
          <c:layout/>
          <c:overlay val="0"/>
        </c:title>
        <c:numFmt formatCode="General" sourceLinked="1"/>
        <c:majorTickMark val="out"/>
        <c:minorTickMark val="none"/>
        <c:tickLblPos val="nextTo"/>
        <c:txPr>
          <a:bodyPr rot="-60000000" spcFirstLastPara="0" vertOverflow="ellipsis" vert="horz" wrap="square" anchor="ctr" anchorCtr="1"/>
          <a:lstStyle/>
          <a:p>
            <a:pPr>
              <a:defRPr lang="ru-RU" sz="1000" b="0" i="0" u="none" strike="noStrike" kern="1200" baseline="0">
                <a:solidFill>
                  <a:schemeClr val="tx1"/>
                </a:solidFill>
                <a:latin typeface="+mn-lt"/>
                <a:ea typeface="+mn-ea"/>
                <a:cs typeface="+mn-cs"/>
              </a:defRPr>
            </a:pPr>
          </a:p>
        </c:txPr>
        <c:crossAx val="1158002111"/>
        <c:crosses val="autoZero"/>
        <c:crossBetween val="midCat"/>
      </c:valAx>
    </c:plotArea>
    <c:plotVisOnly val="1"/>
    <c:dispBlanksAs val="gap"/>
    <c:showDLblsOverMax val="0"/>
    <c:extLst>
      <c:ext uri="{0b15fc19-7d7d-44ad-8c2d-2c3a37ce22c3}">
        <chartProps xmlns="https://web.wps.cn/et/2018/main" chartId="{52f4a75f-2797-4a91-b5e8-ea331aa7b328}"/>
      </c:ext>
    </c:extLst>
  </c:chart>
  <c:txPr>
    <a:bodyPr/>
    <a:lstStyle/>
    <a:p>
      <a:pPr>
        <a:defRPr lang="ru-RU"/>
      </a:pPr>
    </a:p>
  </c:txPr>
  <c:printSettings>
    <c:headerFooter/>
    <c:pageMargins b="0.75" l="0.7" r="0.7" t="0.75" header="0.3" footer="0.3"/>
    <c:pageSetup/>
  </c:printSettings>
</c:chartSpace>
</file>

<file path=xl/charts/chart31.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0" vertOverflow="ellipsis" vert="horz" wrap="square" anchor="ctr" anchorCtr="1"/>
          <a:lstStyle/>
          <a:p>
            <a:pPr>
              <a:defRPr lang="ru-RU" sz="1800" b="1" i="0" u="none" strike="noStrike" kern="1200" baseline="0">
                <a:solidFill>
                  <a:schemeClr val="tx1"/>
                </a:solidFill>
                <a:latin typeface="+mn-lt"/>
                <a:ea typeface="+mn-ea"/>
                <a:cs typeface="+mn-cs"/>
              </a:defRPr>
            </a:pPr>
            <a:r>
              <a:rPr lang="ru-RU"/>
              <a:t>Стоимость основных производственных фондов, млн руб., </a:t>
            </a:r>
            <a:r>
              <a:rPr lang="en-US"/>
              <a:t>X3 </a:t>
            </a:r>
            <a:r>
              <a:rPr lang="ru-RU"/>
              <a:t>График остатков</a:t>
            </a:r>
            <a:endParaRPr lang="ru-RU"/>
          </a:p>
        </c:rich>
      </c:tx>
      <c:layout/>
      <c:overlay val="0"/>
    </c:title>
    <c:autoTitleDeleted val="0"/>
    <c:plotArea>
      <c:layout/>
      <c:scatterChart>
        <c:scatterStyle val="marker"/>
        <c:varyColors val="0"/>
        <c:ser>
          <c:idx val="0"/>
          <c:order val="0"/>
          <c:spPr>
            <a:ln w="19050" cap="rnd" cmpd="sng" algn="ctr">
              <a:noFill/>
              <a:prstDash val="solid"/>
              <a:round/>
            </a:ln>
          </c:spPr>
          <c:dLbls>
            <c:delete val="1"/>
          </c:dLbls>
          <c:xVal>
            <c:numRef>
              <c:f>'Исходные данные 4'!$E$2:$E$31</c:f>
              <c:numCache>
                <c:formatCode>General</c:formatCode>
                <c:ptCount val="30"/>
                <c:pt idx="0">
                  <c:v>1340</c:v>
                </c:pt>
                <c:pt idx="1">
                  <c:v>1560</c:v>
                </c:pt>
                <c:pt idx="2">
                  <c:v>1590</c:v>
                </c:pt>
                <c:pt idx="3">
                  <c:v>1680</c:v>
                </c:pt>
                <c:pt idx="4">
                  <c:v>1450</c:v>
                </c:pt>
                <c:pt idx="5">
                  <c:v>1600</c:v>
                </c:pt>
                <c:pt idx="6">
                  <c:v>1200</c:v>
                </c:pt>
                <c:pt idx="7">
                  <c:v>1280</c:v>
                </c:pt>
                <c:pt idx="8">
                  <c:v>1560</c:v>
                </c:pt>
                <c:pt idx="9">
                  <c:v>1680</c:v>
                </c:pt>
                <c:pt idx="10">
                  <c:v>1780</c:v>
                </c:pt>
                <c:pt idx="11">
                  <c:v>1890</c:v>
                </c:pt>
                <c:pt idx="12">
                  <c:v>1580</c:v>
                </c:pt>
                <c:pt idx="13">
                  <c:v>1760</c:v>
                </c:pt>
                <c:pt idx="14">
                  <c:v>1340</c:v>
                </c:pt>
                <c:pt idx="15">
                  <c:v>1670</c:v>
                </c:pt>
                <c:pt idx="16">
                  <c:v>1350</c:v>
                </c:pt>
                <c:pt idx="17">
                  <c:v>1240</c:v>
                </c:pt>
                <c:pt idx="18">
                  <c:v>1450</c:v>
                </c:pt>
                <c:pt idx="19">
                  <c:v>1670</c:v>
                </c:pt>
                <c:pt idx="20">
                  <c:v>1280</c:v>
                </c:pt>
                <c:pt idx="21">
                  <c:v>1340</c:v>
                </c:pt>
                <c:pt idx="22">
                  <c:v>1450</c:v>
                </c:pt>
                <c:pt idx="23">
                  <c:v>1450</c:v>
                </c:pt>
                <c:pt idx="24">
                  <c:v>1670</c:v>
                </c:pt>
                <c:pt idx="25">
                  <c:v>1330</c:v>
                </c:pt>
                <c:pt idx="26">
                  <c:v>1560</c:v>
                </c:pt>
                <c:pt idx="27">
                  <c:v>1760</c:v>
                </c:pt>
                <c:pt idx="28">
                  <c:v>1650</c:v>
                </c:pt>
                <c:pt idx="29">
                  <c:v>1890</c:v>
                </c:pt>
              </c:numCache>
            </c:numRef>
          </c:xVal>
          <c:yVal>
            <c:numRef>
              <c:f>'Анализ данных 4'!$C$29:$C$58</c:f>
              <c:numCache>
                <c:formatCode>General</c:formatCode>
                <c:ptCount val="30"/>
                <c:pt idx="0">
                  <c:v>-29.703657807909</c:v>
                </c:pt>
                <c:pt idx="1">
                  <c:v>-60.1225697330592</c:v>
                </c:pt>
                <c:pt idx="2">
                  <c:v>-12.2653970580129</c:v>
                </c:pt>
                <c:pt idx="3">
                  <c:v>-7.16639235989112</c:v>
                </c:pt>
                <c:pt idx="4">
                  <c:v>-5.19115785683596</c:v>
                </c:pt>
                <c:pt idx="5">
                  <c:v>6.58363983951807</c:v>
                </c:pt>
                <c:pt idx="6">
                  <c:v>15.6391126818643</c:v>
                </c:pt>
                <c:pt idx="7">
                  <c:v>31.4427032672253</c:v>
                </c:pt>
                <c:pt idx="8">
                  <c:v>53.8175901551565</c:v>
                </c:pt>
                <c:pt idx="9">
                  <c:v>26.5672866756099</c:v>
                </c:pt>
                <c:pt idx="10">
                  <c:v>-51.6683275027946</c:v>
                </c:pt>
                <c:pt idx="11">
                  <c:v>0.973698574871378</c:v>
                </c:pt>
                <c:pt idx="12">
                  <c:v>-2.36276858378756</c:v>
                </c:pt>
                <c:pt idx="13">
                  <c:v>23.6557600565309</c:v>
                </c:pt>
                <c:pt idx="14">
                  <c:v>19.9604619540952</c:v>
                </c:pt>
                <c:pt idx="15">
                  <c:v>23.1642196787864</c:v>
                </c:pt>
                <c:pt idx="16">
                  <c:v>19.376637102468</c:v>
                </c:pt>
                <c:pt idx="17">
                  <c:v>-49.8166325274042</c:v>
                </c:pt>
                <c:pt idx="18">
                  <c:v>-16.9655142040833</c:v>
                </c:pt>
                <c:pt idx="19">
                  <c:v>7.96993884061158</c:v>
                </c:pt>
                <c:pt idx="20">
                  <c:v>2.84248487180662</c:v>
                </c:pt>
                <c:pt idx="21">
                  <c:v>40.8673120072538</c:v>
                </c:pt>
                <c:pt idx="22">
                  <c:v>0.400640399622034</c:v>
                </c:pt>
                <c:pt idx="23">
                  <c:v>-40.3899451220657</c:v>
                </c:pt>
                <c:pt idx="24">
                  <c:v>-20.9460885552438</c:v>
                </c:pt>
                <c:pt idx="25">
                  <c:v>-21.3126312788265</c:v>
                </c:pt>
                <c:pt idx="26">
                  <c:v>25.9880226080022</c:v>
                </c:pt>
                <c:pt idx="27">
                  <c:v>42.2873651713012</c:v>
                </c:pt>
                <c:pt idx="28">
                  <c:v>-3.43217424634565</c:v>
                </c:pt>
                <c:pt idx="29">
                  <c:v>-20.1936170484561</c:v>
                </c:pt>
              </c:numCache>
            </c:numRef>
          </c:yVal>
          <c:smooth val="0"/>
        </c:ser>
        <c:dLbls>
          <c:showLegendKey val="0"/>
          <c:showVal val="0"/>
          <c:showCatName val="0"/>
          <c:showSerName val="0"/>
          <c:showPercent val="0"/>
          <c:showBubbleSize val="0"/>
        </c:dLbls>
        <c:axId val="1303431695"/>
        <c:axId val="1233335135"/>
      </c:scatterChart>
      <c:valAx>
        <c:axId val="1303431695"/>
        <c:scaling>
          <c:orientation val="minMax"/>
        </c:scaling>
        <c:delete val="0"/>
        <c:axPos val="b"/>
        <c:title>
          <c:tx>
            <c:rich>
              <a:bodyPr rot="0" spcFirstLastPara="0" vertOverflow="ellipsis" vert="horz" wrap="square" anchor="ctr" anchorCtr="1"/>
              <a:lstStyle/>
              <a:p>
                <a:pPr>
                  <a:defRPr lang="ru-RU" sz="1000" b="1" i="0" u="none" strike="noStrike" kern="1200" baseline="0">
                    <a:solidFill>
                      <a:schemeClr val="tx1"/>
                    </a:solidFill>
                    <a:latin typeface="+mn-lt"/>
                    <a:ea typeface="+mn-ea"/>
                    <a:cs typeface="+mn-cs"/>
                  </a:defRPr>
                </a:pPr>
                <a:r>
                  <a:rPr lang="ru-RU"/>
                  <a:t>Стоимость основных производственных фондов, млн руб., </a:t>
                </a:r>
                <a:r>
                  <a:rPr lang="en-US"/>
                  <a:t>X3</a:t>
                </a:r>
                <a:endParaRPr lang="en-US"/>
              </a:p>
            </c:rich>
          </c:tx>
          <c:layout/>
          <c:overlay val="0"/>
        </c:title>
        <c:numFmt formatCode="General" sourceLinked="1"/>
        <c:majorTickMark val="out"/>
        <c:minorTickMark val="none"/>
        <c:tickLblPos val="nextTo"/>
        <c:txPr>
          <a:bodyPr rot="-60000000" spcFirstLastPara="0" vertOverflow="ellipsis" vert="horz" wrap="square" anchor="ctr" anchorCtr="1"/>
          <a:lstStyle/>
          <a:p>
            <a:pPr>
              <a:defRPr lang="ru-RU" sz="1000" b="0" i="0" u="none" strike="noStrike" kern="1200" baseline="0">
                <a:solidFill>
                  <a:schemeClr val="tx1"/>
                </a:solidFill>
                <a:latin typeface="+mn-lt"/>
                <a:ea typeface="+mn-ea"/>
                <a:cs typeface="+mn-cs"/>
              </a:defRPr>
            </a:pPr>
          </a:p>
        </c:txPr>
        <c:crossAx val="1233335135"/>
        <c:crosses val="autoZero"/>
        <c:crossBetween val="midCat"/>
      </c:valAx>
      <c:valAx>
        <c:axId val="1233335135"/>
        <c:scaling>
          <c:orientation val="minMax"/>
        </c:scaling>
        <c:delete val="0"/>
        <c:axPos val="l"/>
        <c:title>
          <c:tx>
            <c:rich>
              <a:bodyPr rot="-5400000" spcFirstLastPara="0" vertOverflow="ellipsis" vert="horz" wrap="square" anchor="ctr" anchorCtr="1"/>
              <a:lstStyle/>
              <a:p>
                <a:pPr>
                  <a:defRPr lang="ru-RU" sz="1000" b="1" i="0" u="none" strike="noStrike" kern="1200" baseline="0">
                    <a:solidFill>
                      <a:schemeClr val="tx1"/>
                    </a:solidFill>
                    <a:latin typeface="+mn-lt"/>
                    <a:ea typeface="+mn-ea"/>
                    <a:cs typeface="+mn-cs"/>
                  </a:defRPr>
                </a:pPr>
                <a:r>
                  <a:rPr lang="ru-RU"/>
                  <a:t>Остатки</a:t>
                </a:r>
                <a:endParaRPr lang="ru-RU"/>
              </a:p>
            </c:rich>
          </c:tx>
          <c:layout/>
          <c:overlay val="0"/>
        </c:title>
        <c:numFmt formatCode="General" sourceLinked="1"/>
        <c:majorTickMark val="out"/>
        <c:minorTickMark val="none"/>
        <c:tickLblPos val="nextTo"/>
        <c:txPr>
          <a:bodyPr rot="-60000000" spcFirstLastPara="0" vertOverflow="ellipsis" vert="horz" wrap="square" anchor="ctr" anchorCtr="1"/>
          <a:lstStyle/>
          <a:p>
            <a:pPr>
              <a:defRPr lang="ru-RU" sz="1000" b="0" i="0" u="none" strike="noStrike" kern="1200" baseline="0">
                <a:solidFill>
                  <a:schemeClr val="tx1"/>
                </a:solidFill>
                <a:latin typeface="+mn-lt"/>
                <a:ea typeface="+mn-ea"/>
                <a:cs typeface="+mn-cs"/>
              </a:defRPr>
            </a:pPr>
          </a:p>
        </c:txPr>
        <c:crossAx val="1303431695"/>
        <c:crosses val="autoZero"/>
        <c:crossBetween val="midCat"/>
      </c:valAx>
    </c:plotArea>
    <c:plotVisOnly val="1"/>
    <c:dispBlanksAs val="gap"/>
    <c:showDLblsOverMax val="0"/>
    <c:extLst>
      <c:ext uri="{0b15fc19-7d7d-44ad-8c2d-2c3a37ce22c3}">
        <chartProps xmlns="https://web.wps.cn/et/2018/main" chartId="{2cf66885-0b43-4eb1-87d2-d1a893a420cc}"/>
      </c:ext>
    </c:extLst>
  </c:chart>
  <c:txPr>
    <a:bodyPr/>
    <a:lstStyle/>
    <a:p>
      <a:pPr>
        <a:defRPr lang="ru-RU"/>
      </a:pPr>
    </a:p>
  </c:txPr>
  <c:printSettings>
    <c:headerFooter/>
    <c:pageMargins b="0.75" l="0.7" r="0.7" t="0.75" header="0.3" footer="0.3"/>
    <c:pageSetup/>
  </c:printSettings>
</c:chartSpace>
</file>

<file path=xl/charts/chart32.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0" vertOverflow="ellipsis" vert="horz" wrap="square" anchor="ctr" anchorCtr="1"/>
          <a:lstStyle/>
          <a:p>
            <a:pPr>
              <a:defRPr lang="ru-RU" sz="1800" b="1" i="0" u="none" strike="noStrike" kern="1200" baseline="0">
                <a:solidFill>
                  <a:schemeClr val="tx1"/>
                </a:solidFill>
                <a:latin typeface="+mn-lt"/>
                <a:ea typeface="+mn-ea"/>
                <a:cs typeface="+mn-cs"/>
              </a:defRPr>
            </a:pPr>
            <a:r>
              <a:rPr lang="ru-RU"/>
              <a:t>Индекс рыночных цен, в разах, </a:t>
            </a:r>
            <a:r>
              <a:rPr lang="en-US"/>
              <a:t>X8 </a:t>
            </a:r>
            <a:r>
              <a:rPr lang="ru-RU"/>
              <a:t>График остатков</a:t>
            </a:r>
            <a:endParaRPr lang="ru-RU"/>
          </a:p>
        </c:rich>
      </c:tx>
      <c:layout/>
      <c:overlay val="0"/>
    </c:title>
    <c:autoTitleDeleted val="0"/>
    <c:plotArea>
      <c:layout/>
      <c:scatterChart>
        <c:scatterStyle val="marker"/>
        <c:varyColors val="0"/>
        <c:ser>
          <c:idx val="0"/>
          <c:order val="0"/>
          <c:spPr>
            <a:ln w="19050" cap="rnd" cmpd="sng" algn="ctr">
              <a:noFill/>
              <a:prstDash val="solid"/>
              <a:round/>
            </a:ln>
          </c:spPr>
          <c:dLbls>
            <c:delete val="1"/>
          </c:dLbls>
          <c:xVal>
            <c:numRef>
              <c:f>'Исходные данные 4'!$F$2:$F$31</c:f>
              <c:numCache>
                <c:formatCode>General</c:formatCode>
                <c:ptCount val="30"/>
                <c:pt idx="0">
                  <c:v>1.02</c:v>
                </c:pt>
                <c:pt idx="1">
                  <c:v>1.03</c:v>
                </c:pt>
                <c:pt idx="2">
                  <c:v>1.02</c:v>
                </c:pt>
                <c:pt idx="3">
                  <c:v>1.04</c:v>
                </c:pt>
                <c:pt idx="4">
                  <c:v>1.03</c:v>
                </c:pt>
                <c:pt idx="5">
                  <c:v>1.03</c:v>
                </c:pt>
                <c:pt idx="6">
                  <c:v>1.04</c:v>
                </c:pt>
                <c:pt idx="7">
                  <c:v>1.05</c:v>
                </c:pt>
                <c:pt idx="8">
                  <c:v>1.07</c:v>
                </c:pt>
                <c:pt idx="9">
                  <c:v>1.2</c:v>
                </c:pt>
                <c:pt idx="10">
                  <c:v>1.25</c:v>
                </c:pt>
                <c:pt idx="11">
                  <c:v>1.28</c:v>
                </c:pt>
                <c:pt idx="12">
                  <c:v>1.32</c:v>
                </c:pt>
                <c:pt idx="13">
                  <c:v>1.35</c:v>
                </c:pt>
                <c:pt idx="14">
                  <c:v>1.32</c:v>
                </c:pt>
                <c:pt idx="15">
                  <c:v>1.32</c:v>
                </c:pt>
                <c:pt idx="16">
                  <c:v>1.45</c:v>
                </c:pt>
                <c:pt idx="17">
                  <c:v>1.48</c:v>
                </c:pt>
                <c:pt idx="18">
                  <c:v>1.31</c:v>
                </c:pt>
                <c:pt idx="19">
                  <c:v>1.22</c:v>
                </c:pt>
                <c:pt idx="20">
                  <c:v>1.15</c:v>
                </c:pt>
                <c:pt idx="21">
                  <c:v>1.11</c:v>
                </c:pt>
                <c:pt idx="22">
                  <c:v>1.08</c:v>
                </c:pt>
                <c:pt idx="23">
                  <c:v>1.06</c:v>
                </c:pt>
                <c:pt idx="24">
                  <c:v>1.06</c:v>
                </c:pt>
                <c:pt idx="25">
                  <c:v>1.05</c:v>
                </c:pt>
                <c:pt idx="26">
                  <c:v>1.05</c:v>
                </c:pt>
                <c:pt idx="27">
                  <c:v>1.03</c:v>
                </c:pt>
                <c:pt idx="28">
                  <c:v>1.04</c:v>
                </c:pt>
                <c:pt idx="29">
                  <c:v>1.05</c:v>
                </c:pt>
              </c:numCache>
            </c:numRef>
          </c:xVal>
          <c:yVal>
            <c:numRef>
              <c:f>'Анализ данных 4'!$C$29:$C$58</c:f>
              <c:numCache>
                <c:formatCode>General</c:formatCode>
                <c:ptCount val="30"/>
                <c:pt idx="0">
                  <c:v>-29.703657807909</c:v>
                </c:pt>
                <c:pt idx="1">
                  <c:v>-60.1225697330592</c:v>
                </c:pt>
                <c:pt idx="2">
                  <c:v>-12.2653970580129</c:v>
                </c:pt>
                <c:pt idx="3">
                  <c:v>-7.16639235989112</c:v>
                </c:pt>
                <c:pt idx="4">
                  <c:v>-5.19115785683596</c:v>
                </c:pt>
                <c:pt idx="5">
                  <c:v>6.58363983951807</c:v>
                </c:pt>
                <c:pt idx="6">
                  <c:v>15.6391126818643</c:v>
                </c:pt>
                <c:pt idx="7">
                  <c:v>31.4427032672253</c:v>
                </c:pt>
                <c:pt idx="8">
                  <c:v>53.8175901551565</c:v>
                </c:pt>
                <c:pt idx="9">
                  <c:v>26.5672866756099</c:v>
                </c:pt>
                <c:pt idx="10">
                  <c:v>-51.6683275027946</c:v>
                </c:pt>
                <c:pt idx="11">
                  <c:v>0.973698574871378</c:v>
                </c:pt>
                <c:pt idx="12">
                  <c:v>-2.36276858378756</c:v>
                </c:pt>
                <c:pt idx="13">
                  <c:v>23.6557600565309</c:v>
                </c:pt>
                <c:pt idx="14">
                  <c:v>19.9604619540952</c:v>
                </c:pt>
                <c:pt idx="15">
                  <c:v>23.1642196787864</c:v>
                </c:pt>
                <c:pt idx="16">
                  <c:v>19.376637102468</c:v>
                </c:pt>
                <c:pt idx="17">
                  <c:v>-49.8166325274042</c:v>
                </c:pt>
                <c:pt idx="18">
                  <c:v>-16.9655142040833</c:v>
                </c:pt>
                <c:pt idx="19">
                  <c:v>7.96993884061158</c:v>
                </c:pt>
                <c:pt idx="20">
                  <c:v>2.84248487180662</c:v>
                </c:pt>
                <c:pt idx="21">
                  <c:v>40.8673120072538</c:v>
                </c:pt>
                <c:pt idx="22">
                  <c:v>0.400640399622034</c:v>
                </c:pt>
                <c:pt idx="23">
                  <c:v>-40.3899451220657</c:v>
                </c:pt>
                <c:pt idx="24">
                  <c:v>-20.9460885552438</c:v>
                </c:pt>
                <c:pt idx="25">
                  <c:v>-21.3126312788265</c:v>
                </c:pt>
                <c:pt idx="26">
                  <c:v>25.9880226080022</c:v>
                </c:pt>
                <c:pt idx="27">
                  <c:v>42.2873651713012</c:v>
                </c:pt>
                <c:pt idx="28">
                  <c:v>-3.43217424634565</c:v>
                </c:pt>
                <c:pt idx="29">
                  <c:v>-20.1936170484561</c:v>
                </c:pt>
              </c:numCache>
            </c:numRef>
          </c:yVal>
          <c:smooth val="0"/>
        </c:ser>
        <c:dLbls>
          <c:showLegendKey val="0"/>
          <c:showVal val="0"/>
          <c:showCatName val="0"/>
          <c:showSerName val="0"/>
          <c:showPercent val="0"/>
          <c:showBubbleSize val="0"/>
        </c:dLbls>
        <c:axId val="1234826671"/>
        <c:axId val="1233336383"/>
      </c:scatterChart>
      <c:valAx>
        <c:axId val="1234826671"/>
        <c:scaling>
          <c:orientation val="minMax"/>
        </c:scaling>
        <c:delete val="0"/>
        <c:axPos val="b"/>
        <c:title>
          <c:tx>
            <c:rich>
              <a:bodyPr rot="0" spcFirstLastPara="0" vertOverflow="ellipsis" vert="horz" wrap="square" anchor="ctr" anchorCtr="1"/>
              <a:lstStyle/>
              <a:p>
                <a:pPr>
                  <a:defRPr lang="ru-RU" sz="1000" b="1" i="0" u="none" strike="noStrike" kern="1200" baseline="0">
                    <a:solidFill>
                      <a:schemeClr val="tx1"/>
                    </a:solidFill>
                    <a:latin typeface="+mn-lt"/>
                    <a:ea typeface="+mn-ea"/>
                    <a:cs typeface="+mn-cs"/>
                  </a:defRPr>
                </a:pPr>
                <a:r>
                  <a:rPr lang="ru-RU"/>
                  <a:t>Индекс рыночных цен, в разах, </a:t>
                </a:r>
                <a:r>
                  <a:rPr lang="en-US"/>
                  <a:t>X8</a:t>
                </a:r>
                <a:endParaRPr lang="en-US"/>
              </a:p>
            </c:rich>
          </c:tx>
          <c:layout/>
          <c:overlay val="0"/>
        </c:title>
        <c:numFmt formatCode="General" sourceLinked="1"/>
        <c:majorTickMark val="out"/>
        <c:minorTickMark val="none"/>
        <c:tickLblPos val="nextTo"/>
        <c:txPr>
          <a:bodyPr rot="-60000000" spcFirstLastPara="0" vertOverflow="ellipsis" vert="horz" wrap="square" anchor="ctr" anchorCtr="1"/>
          <a:lstStyle/>
          <a:p>
            <a:pPr>
              <a:defRPr lang="ru-RU" sz="1000" b="0" i="0" u="none" strike="noStrike" kern="1200" baseline="0">
                <a:solidFill>
                  <a:schemeClr val="tx1"/>
                </a:solidFill>
                <a:latin typeface="+mn-lt"/>
                <a:ea typeface="+mn-ea"/>
                <a:cs typeface="+mn-cs"/>
              </a:defRPr>
            </a:pPr>
          </a:p>
        </c:txPr>
        <c:crossAx val="1233336383"/>
        <c:crosses val="autoZero"/>
        <c:crossBetween val="midCat"/>
      </c:valAx>
      <c:valAx>
        <c:axId val="1233336383"/>
        <c:scaling>
          <c:orientation val="minMax"/>
        </c:scaling>
        <c:delete val="0"/>
        <c:axPos val="l"/>
        <c:title>
          <c:tx>
            <c:rich>
              <a:bodyPr rot="-5400000" spcFirstLastPara="0" vertOverflow="ellipsis" vert="horz" wrap="square" anchor="ctr" anchorCtr="1"/>
              <a:lstStyle/>
              <a:p>
                <a:pPr>
                  <a:defRPr lang="ru-RU" sz="1000" b="1" i="0" u="none" strike="noStrike" kern="1200" baseline="0">
                    <a:solidFill>
                      <a:schemeClr val="tx1"/>
                    </a:solidFill>
                    <a:latin typeface="+mn-lt"/>
                    <a:ea typeface="+mn-ea"/>
                    <a:cs typeface="+mn-cs"/>
                  </a:defRPr>
                </a:pPr>
                <a:r>
                  <a:rPr lang="ru-RU"/>
                  <a:t>Остатки</a:t>
                </a:r>
                <a:endParaRPr lang="ru-RU"/>
              </a:p>
            </c:rich>
          </c:tx>
          <c:layout/>
          <c:overlay val="0"/>
        </c:title>
        <c:numFmt formatCode="General" sourceLinked="1"/>
        <c:majorTickMark val="out"/>
        <c:minorTickMark val="none"/>
        <c:tickLblPos val="nextTo"/>
        <c:txPr>
          <a:bodyPr rot="-60000000" spcFirstLastPara="0" vertOverflow="ellipsis" vert="horz" wrap="square" anchor="ctr" anchorCtr="1"/>
          <a:lstStyle/>
          <a:p>
            <a:pPr>
              <a:defRPr lang="ru-RU" sz="1000" b="0" i="0" u="none" strike="noStrike" kern="1200" baseline="0">
                <a:solidFill>
                  <a:schemeClr val="tx1"/>
                </a:solidFill>
                <a:latin typeface="+mn-lt"/>
                <a:ea typeface="+mn-ea"/>
                <a:cs typeface="+mn-cs"/>
              </a:defRPr>
            </a:pPr>
          </a:p>
        </c:txPr>
        <c:crossAx val="1234826671"/>
        <c:crosses val="autoZero"/>
        <c:crossBetween val="midCat"/>
      </c:valAx>
    </c:plotArea>
    <c:plotVisOnly val="1"/>
    <c:dispBlanksAs val="gap"/>
    <c:showDLblsOverMax val="0"/>
    <c:extLst>
      <c:ext uri="{0b15fc19-7d7d-44ad-8c2d-2c3a37ce22c3}">
        <chartProps xmlns="https://web.wps.cn/et/2018/main" chartId="{eec50be2-04eb-402e-b23f-402aa684a966}"/>
      </c:ext>
    </c:extLst>
  </c:chart>
  <c:txPr>
    <a:bodyPr/>
    <a:lstStyle/>
    <a:p>
      <a:pPr>
        <a:defRPr lang="ru-RU"/>
      </a:pPr>
    </a:p>
  </c:txPr>
  <c:printSettings>
    <c:headerFooter/>
    <c:pageMargins b="0.75" l="0.7" r="0.7" t="0.75" header="0.3" footer="0.3"/>
    <c:pageSetup/>
  </c:printSettings>
</c:chartSpace>
</file>

<file path=xl/charts/chart33.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0" vertOverflow="ellipsis" vert="horz" wrap="square" anchor="ctr" anchorCtr="1"/>
          <a:lstStyle/>
          <a:p>
            <a:pPr>
              <a:defRPr lang="ru-RU" sz="1800" b="1" i="0" u="none" strike="noStrike" kern="1200" baseline="0">
                <a:solidFill>
                  <a:schemeClr val="tx1"/>
                </a:solidFill>
                <a:latin typeface="+mn-lt"/>
                <a:ea typeface="+mn-ea"/>
                <a:cs typeface="+mn-cs"/>
              </a:defRPr>
            </a:pPr>
            <a:r>
              <a:rPr lang="ru-RU"/>
              <a:t>Уровень использования производственных мощностей, %, </a:t>
            </a:r>
            <a:r>
              <a:rPr lang="en-US"/>
              <a:t>X9 </a:t>
            </a:r>
            <a:r>
              <a:rPr lang="ru-RU"/>
              <a:t>График остатков</a:t>
            </a:r>
            <a:endParaRPr lang="ru-RU"/>
          </a:p>
        </c:rich>
      </c:tx>
      <c:layout/>
      <c:overlay val="0"/>
    </c:title>
    <c:autoTitleDeleted val="0"/>
    <c:plotArea>
      <c:layout/>
      <c:scatterChart>
        <c:scatterStyle val="marker"/>
        <c:varyColors val="0"/>
        <c:ser>
          <c:idx val="0"/>
          <c:order val="0"/>
          <c:spPr>
            <a:ln w="19050" cap="rnd" cmpd="sng" algn="ctr">
              <a:noFill/>
              <a:prstDash val="solid"/>
              <a:round/>
            </a:ln>
          </c:spPr>
          <c:dLbls>
            <c:delete val="1"/>
          </c:dLbls>
          <c:xVal>
            <c:numRef>
              <c:f>'Исходные данные 4'!$G$2:$G$31</c:f>
              <c:numCache>
                <c:formatCode>General</c:formatCode>
                <c:ptCount val="30"/>
                <c:pt idx="0">
                  <c:v>96</c:v>
                </c:pt>
                <c:pt idx="1">
                  <c:v>97</c:v>
                </c:pt>
                <c:pt idx="2">
                  <c:v>96</c:v>
                </c:pt>
                <c:pt idx="3">
                  <c:v>93</c:v>
                </c:pt>
                <c:pt idx="4">
                  <c:v>93</c:v>
                </c:pt>
                <c:pt idx="5">
                  <c:v>94</c:v>
                </c:pt>
                <c:pt idx="6">
                  <c:v>95</c:v>
                </c:pt>
                <c:pt idx="7">
                  <c:v>95</c:v>
                </c:pt>
                <c:pt idx="8">
                  <c:v>95</c:v>
                </c:pt>
                <c:pt idx="9">
                  <c:v>95</c:v>
                </c:pt>
                <c:pt idx="10">
                  <c:v>88</c:v>
                </c:pt>
                <c:pt idx="11">
                  <c:v>85</c:v>
                </c:pt>
                <c:pt idx="12">
                  <c:v>72</c:v>
                </c:pt>
                <c:pt idx="13">
                  <c:v>68</c:v>
                </c:pt>
                <c:pt idx="14">
                  <c:v>66</c:v>
                </c:pt>
                <c:pt idx="15">
                  <c:v>62</c:v>
                </c:pt>
                <c:pt idx="16">
                  <c:v>60</c:v>
                </c:pt>
                <c:pt idx="17">
                  <c:v>60</c:v>
                </c:pt>
                <c:pt idx="18">
                  <c:v>70</c:v>
                </c:pt>
                <c:pt idx="19">
                  <c:v>80</c:v>
                </c:pt>
                <c:pt idx="20">
                  <c:v>87</c:v>
                </c:pt>
                <c:pt idx="21">
                  <c:v>89</c:v>
                </c:pt>
                <c:pt idx="22">
                  <c:v>89</c:v>
                </c:pt>
                <c:pt idx="23">
                  <c:v>89</c:v>
                </c:pt>
                <c:pt idx="24">
                  <c:v>87</c:v>
                </c:pt>
                <c:pt idx="25">
                  <c:v>83</c:v>
                </c:pt>
                <c:pt idx="26">
                  <c:v>88</c:v>
                </c:pt>
                <c:pt idx="27">
                  <c:v>96</c:v>
                </c:pt>
                <c:pt idx="28">
                  <c:v>97</c:v>
                </c:pt>
                <c:pt idx="29">
                  <c:v>90</c:v>
                </c:pt>
              </c:numCache>
            </c:numRef>
          </c:xVal>
          <c:yVal>
            <c:numRef>
              <c:f>'Анализ данных 4'!$C$29:$C$58</c:f>
              <c:numCache>
                <c:formatCode>General</c:formatCode>
                <c:ptCount val="30"/>
                <c:pt idx="0">
                  <c:v>-29.703657807909</c:v>
                </c:pt>
                <c:pt idx="1">
                  <c:v>-60.1225697330592</c:v>
                </c:pt>
                <c:pt idx="2">
                  <c:v>-12.2653970580129</c:v>
                </c:pt>
                <c:pt idx="3">
                  <c:v>-7.16639235989112</c:v>
                </c:pt>
                <c:pt idx="4">
                  <c:v>-5.19115785683596</c:v>
                </c:pt>
                <c:pt idx="5">
                  <c:v>6.58363983951807</c:v>
                </c:pt>
                <c:pt idx="6">
                  <c:v>15.6391126818643</c:v>
                </c:pt>
                <c:pt idx="7">
                  <c:v>31.4427032672253</c:v>
                </c:pt>
                <c:pt idx="8">
                  <c:v>53.8175901551565</c:v>
                </c:pt>
                <c:pt idx="9">
                  <c:v>26.5672866756099</c:v>
                </c:pt>
                <c:pt idx="10">
                  <c:v>-51.6683275027946</c:v>
                </c:pt>
                <c:pt idx="11">
                  <c:v>0.973698574871378</c:v>
                </c:pt>
                <c:pt idx="12">
                  <c:v>-2.36276858378756</c:v>
                </c:pt>
                <c:pt idx="13">
                  <c:v>23.6557600565309</c:v>
                </c:pt>
                <c:pt idx="14">
                  <c:v>19.9604619540952</c:v>
                </c:pt>
                <c:pt idx="15">
                  <c:v>23.1642196787864</c:v>
                </c:pt>
                <c:pt idx="16">
                  <c:v>19.376637102468</c:v>
                </c:pt>
                <c:pt idx="17">
                  <c:v>-49.8166325274042</c:v>
                </c:pt>
                <c:pt idx="18">
                  <c:v>-16.9655142040833</c:v>
                </c:pt>
                <c:pt idx="19">
                  <c:v>7.96993884061158</c:v>
                </c:pt>
                <c:pt idx="20">
                  <c:v>2.84248487180662</c:v>
                </c:pt>
                <c:pt idx="21">
                  <c:v>40.8673120072538</c:v>
                </c:pt>
                <c:pt idx="22">
                  <c:v>0.400640399622034</c:v>
                </c:pt>
                <c:pt idx="23">
                  <c:v>-40.3899451220657</c:v>
                </c:pt>
                <c:pt idx="24">
                  <c:v>-20.9460885552438</c:v>
                </c:pt>
                <c:pt idx="25">
                  <c:v>-21.3126312788265</c:v>
                </c:pt>
                <c:pt idx="26">
                  <c:v>25.9880226080022</c:v>
                </c:pt>
                <c:pt idx="27">
                  <c:v>42.2873651713012</c:v>
                </c:pt>
                <c:pt idx="28">
                  <c:v>-3.43217424634565</c:v>
                </c:pt>
                <c:pt idx="29">
                  <c:v>-20.1936170484561</c:v>
                </c:pt>
              </c:numCache>
            </c:numRef>
          </c:yVal>
          <c:smooth val="0"/>
        </c:ser>
        <c:dLbls>
          <c:showLegendKey val="0"/>
          <c:showVal val="0"/>
          <c:showCatName val="0"/>
          <c:showSerName val="0"/>
          <c:showPercent val="0"/>
          <c:showBubbleSize val="0"/>
        </c:dLbls>
        <c:axId val="1234825871"/>
        <c:axId val="1233325567"/>
      </c:scatterChart>
      <c:valAx>
        <c:axId val="1234825871"/>
        <c:scaling>
          <c:orientation val="minMax"/>
        </c:scaling>
        <c:delete val="0"/>
        <c:axPos val="b"/>
        <c:title>
          <c:tx>
            <c:rich>
              <a:bodyPr rot="0" spcFirstLastPara="0" vertOverflow="ellipsis" vert="horz" wrap="square" anchor="ctr" anchorCtr="1"/>
              <a:lstStyle/>
              <a:p>
                <a:pPr>
                  <a:defRPr lang="ru-RU" sz="1000" b="1" i="0" u="none" strike="noStrike" kern="1200" baseline="0">
                    <a:solidFill>
                      <a:schemeClr val="tx1"/>
                    </a:solidFill>
                    <a:latin typeface="+mn-lt"/>
                    <a:ea typeface="+mn-ea"/>
                    <a:cs typeface="+mn-cs"/>
                  </a:defRPr>
                </a:pPr>
                <a:r>
                  <a:rPr lang="ru-RU"/>
                  <a:t>Уровень использования производственных мощностей, %, </a:t>
                </a:r>
                <a:r>
                  <a:rPr lang="en-US"/>
                  <a:t>X9</a:t>
                </a:r>
                <a:endParaRPr lang="en-US"/>
              </a:p>
            </c:rich>
          </c:tx>
          <c:layout/>
          <c:overlay val="0"/>
        </c:title>
        <c:numFmt formatCode="General" sourceLinked="1"/>
        <c:majorTickMark val="out"/>
        <c:minorTickMark val="none"/>
        <c:tickLblPos val="nextTo"/>
        <c:txPr>
          <a:bodyPr rot="-60000000" spcFirstLastPara="0" vertOverflow="ellipsis" vert="horz" wrap="square" anchor="ctr" anchorCtr="1"/>
          <a:lstStyle/>
          <a:p>
            <a:pPr>
              <a:defRPr lang="ru-RU" sz="1000" b="0" i="0" u="none" strike="noStrike" kern="1200" baseline="0">
                <a:solidFill>
                  <a:schemeClr val="tx1"/>
                </a:solidFill>
                <a:latin typeface="+mn-lt"/>
                <a:ea typeface="+mn-ea"/>
                <a:cs typeface="+mn-cs"/>
              </a:defRPr>
            </a:pPr>
          </a:p>
        </c:txPr>
        <c:crossAx val="1233325567"/>
        <c:crosses val="autoZero"/>
        <c:crossBetween val="midCat"/>
      </c:valAx>
      <c:valAx>
        <c:axId val="1233325567"/>
        <c:scaling>
          <c:orientation val="minMax"/>
        </c:scaling>
        <c:delete val="0"/>
        <c:axPos val="l"/>
        <c:title>
          <c:tx>
            <c:rich>
              <a:bodyPr rot="-5400000" spcFirstLastPara="0" vertOverflow="ellipsis" vert="horz" wrap="square" anchor="ctr" anchorCtr="1"/>
              <a:lstStyle/>
              <a:p>
                <a:pPr>
                  <a:defRPr lang="ru-RU" sz="1000" b="1" i="0" u="none" strike="noStrike" kern="1200" baseline="0">
                    <a:solidFill>
                      <a:schemeClr val="tx1"/>
                    </a:solidFill>
                    <a:latin typeface="+mn-lt"/>
                    <a:ea typeface="+mn-ea"/>
                    <a:cs typeface="+mn-cs"/>
                  </a:defRPr>
                </a:pPr>
                <a:r>
                  <a:rPr lang="ru-RU"/>
                  <a:t>Остатки</a:t>
                </a:r>
                <a:endParaRPr lang="ru-RU"/>
              </a:p>
            </c:rich>
          </c:tx>
          <c:layout/>
          <c:overlay val="0"/>
        </c:title>
        <c:numFmt formatCode="General" sourceLinked="1"/>
        <c:majorTickMark val="out"/>
        <c:minorTickMark val="none"/>
        <c:tickLblPos val="nextTo"/>
        <c:txPr>
          <a:bodyPr rot="-60000000" spcFirstLastPara="0" vertOverflow="ellipsis" vert="horz" wrap="square" anchor="ctr" anchorCtr="1"/>
          <a:lstStyle/>
          <a:p>
            <a:pPr>
              <a:defRPr lang="ru-RU" sz="1000" b="0" i="0" u="none" strike="noStrike" kern="1200" baseline="0">
                <a:solidFill>
                  <a:schemeClr val="tx1"/>
                </a:solidFill>
                <a:latin typeface="+mn-lt"/>
                <a:ea typeface="+mn-ea"/>
                <a:cs typeface="+mn-cs"/>
              </a:defRPr>
            </a:pPr>
          </a:p>
        </c:txPr>
        <c:crossAx val="1234825871"/>
        <c:crosses val="autoZero"/>
        <c:crossBetween val="midCat"/>
      </c:valAx>
    </c:plotArea>
    <c:plotVisOnly val="1"/>
    <c:dispBlanksAs val="gap"/>
    <c:showDLblsOverMax val="0"/>
    <c:extLst>
      <c:ext uri="{0b15fc19-7d7d-44ad-8c2d-2c3a37ce22c3}">
        <chartProps xmlns="https://web.wps.cn/et/2018/main" chartId="{fc231be9-65bf-452d-8d6d-11f39cdfec7c}"/>
      </c:ext>
    </c:extLst>
  </c:chart>
  <c:txPr>
    <a:bodyPr/>
    <a:lstStyle/>
    <a:p>
      <a:pPr>
        <a:defRPr lang="ru-RU"/>
      </a:pPr>
    </a:p>
  </c:txPr>
  <c:printSettings>
    <c:headerFooter/>
    <c:pageMargins b="0.75" l="0.7" r="0.7" t="0.75" header="0.3" footer="0.3"/>
    <c:pageSetup/>
  </c:printSettings>
</c:chartSpace>
</file>

<file path=xl/charts/chart34.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0" vertOverflow="ellipsis" vert="horz" wrap="square" anchor="ctr" anchorCtr="1"/>
          <a:lstStyle/>
          <a:p>
            <a:pPr>
              <a:defRPr lang="ru-RU" sz="1800" b="1" i="0" u="none" strike="noStrike" kern="1200" baseline="0">
                <a:solidFill>
                  <a:schemeClr val="tx1"/>
                </a:solidFill>
                <a:latin typeface="+mn-lt"/>
                <a:ea typeface="+mn-ea"/>
                <a:cs typeface="+mn-cs"/>
              </a:defRPr>
            </a:pPr>
            <a:r>
              <a:rPr lang="ru-RU"/>
              <a:t>Инвестиции в основной капитал, млн руб., </a:t>
            </a:r>
            <a:r>
              <a:rPr lang="en-US"/>
              <a:t>X1 </a:t>
            </a:r>
            <a:r>
              <a:rPr lang="ru-RU"/>
              <a:t>График подбора</a:t>
            </a:r>
            <a:endParaRPr lang="ru-RU"/>
          </a:p>
        </c:rich>
      </c:tx>
      <c:layout/>
      <c:overlay val="0"/>
    </c:title>
    <c:autoTitleDeleted val="0"/>
    <c:plotArea>
      <c:layout/>
      <c:scatterChart>
        <c:scatterStyle val="marker"/>
        <c:varyColors val="0"/>
        <c:ser>
          <c:idx val="0"/>
          <c:order val="0"/>
          <c:tx>
            <c:strRef>
              <c:f>"Прибыль, млн руб., Y"</c:f>
              <c:strCache>
                <c:ptCount val="1"/>
                <c:pt idx="0">
                  <c:v>Прибыль, млн руб., Y</c:v>
                </c:pt>
              </c:strCache>
            </c:strRef>
          </c:tx>
          <c:spPr>
            <a:ln w="19050" cap="rnd" cmpd="sng" algn="ctr">
              <a:noFill/>
              <a:prstDash val="solid"/>
              <a:round/>
            </a:ln>
          </c:spPr>
          <c:dLbls>
            <c:delete val="1"/>
          </c:dLbls>
          <c:xVal>
            <c:numRef>
              <c:f>'Исходные данные 4'!$C$2:$C$31</c:f>
              <c:numCache>
                <c:formatCode>General</c:formatCode>
                <c:ptCount val="30"/>
                <c:pt idx="0">
                  <c:v>145</c:v>
                </c:pt>
                <c:pt idx="1">
                  <c:v>150</c:v>
                </c:pt>
                <c:pt idx="2">
                  <c:v>160</c:v>
                </c:pt>
                <c:pt idx="3">
                  <c:v>165</c:v>
                </c:pt>
                <c:pt idx="4">
                  <c:v>165</c:v>
                </c:pt>
                <c:pt idx="5">
                  <c:v>164</c:v>
                </c:pt>
                <c:pt idx="6">
                  <c:v>170</c:v>
                </c:pt>
                <c:pt idx="7">
                  <c:v>175</c:v>
                </c:pt>
                <c:pt idx="8">
                  <c:v>180</c:v>
                </c:pt>
                <c:pt idx="9">
                  <c:v>192</c:v>
                </c:pt>
                <c:pt idx="10">
                  <c:v>195</c:v>
                </c:pt>
                <c:pt idx="11">
                  <c:v>196</c:v>
                </c:pt>
                <c:pt idx="12">
                  <c:v>199</c:v>
                </c:pt>
                <c:pt idx="13">
                  <c:v>200</c:v>
                </c:pt>
                <c:pt idx="14">
                  <c:v>200</c:v>
                </c:pt>
                <c:pt idx="15">
                  <c:v>205</c:v>
                </c:pt>
                <c:pt idx="16">
                  <c:v>210</c:v>
                </c:pt>
                <c:pt idx="17">
                  <c:v>220</c:v>
                </c:pt>
                <c:pt idx="18">
                  <c:v>230</c:v>
                </c:pt>
                <c:pt idx="19">
                  <c:v>240</c:v>
                </c:pt>
                <c:pt idx="20">
                  <c:v>250</c:v>
                </c:pt>
                <c:pt idx="21">
                  <c:v>260</c:v>
                </c:pt>
                <c:pt idx="22">
                  <c:v>270</c:v>
                </c:pt>
                <c:pt idx="23">
                  <c:v>275</c:v>
                </c:pt>
                <c:pt idx="24">
                  <c:v>280</c:v>
                </c:pt>
                <c:pt idx="25">
                  <c:v>290</c:v>
                </c:pt>
                <c:pt idx="26">
                  <c:v>295</c:v>
                </c:pt>
                <c:pt idx="27">
                  <c:v>300</c:v>
                </c:pt>
                <c:pt idx="28">
                  <c:v>380</c:v>
                </c:pt>
                <c:pt idx="29">
                  <c:v>410</c:v>
                </c:pt>
              </c:numCache>
            </c:numRef>
          </c:xVal>
          <c:yVal>
            <c:numRef>
              <c:f>'Исходные данные 4'!$B$2:$B$31</c:f>
              <c:numCache>
                <c:formatCode>General</c:formatCode>
                <c:ptCount val="30"/>
                <c:pt idx="0">
                  <c:v>335</c:v>
                </c:pt>
                <c:pt idx="1">
                  <c:v>336</c:v>
                </c:pt>
                <c:pt idx="2">
                  <c:v>388</c:v>
                </c:pt>
                <c:pt idx="3">
                  <c:v>420</c:v>
                </c:pt>
                <c:pt idx="4">
                  <c:v>450</c:v>
                </c:pt>
                <c:pt idx="5">
                  <c:v>450</c:v>
                </c:pt>
                <c:pt idx="6">
                  <c:v>500</c:v>
                </c:pt>
                <c:pt idx="7">
                  <c:v>520</c:v>
                </c:pt>
                <c:pt idx="8">
                  <c:v>550</c:v>
                </c:pt>
                <c:pt idx="9">
                  <c:v>600</c:v>
                </c:pt>
                <c:pt idx="10">
                  <c:v>605</c:v>
                </c:pt>
                <c:pt idx="11">
                  <c:v>620</c:v>
                </c:pt>
                <c:pt idx="12">
                  <c:v>630</c:v>
                </c:pt>
                <c:pt idx="13">
                  <c:v>655</c:v>
                </c:pt>
                <c:pt idx="14">
                  <c:v>690</c:v>
                </c:pt>
                <c:pt idx="15">
                  <c:v>690</c:v>
                </c:pt>
                <c:pt idx="16">
                  <c:v>710</c:v>
                </c:pt>
                <c:pt idx="17">
                  <c:v>720</c:v>
                </c:pt>
                <c:pt idx="18">
                  <c:v>745</c:v>
                </c:pt>
                <c:pt idx="19">
                  <c:v>760</c:v>
                </c:pt>
                <c:pt idx="20">
                  <c:v>780</c:v>
                </c:pt>
                <c:pt idx="21">
                  <c:v>840</c:v>
                </c:pt>
                <c:pt idx="22">
                  <c:v>845</c:v>
                </c:pt>
                <c:pt idx="23">
                  <c:v>850</c:v>
                </c:pt>
                <c:pt idx="24">
                  <c:v>860</c:v>
                </c:pt>
                <c:pt idx="25">
                  <c:v>890</c:v>
                </c:pt>
                <c:pt idx="26">
                  <c:v>940</c:v>
                </c:pt>
                <c:pt idx="27">
                  <c:v>960</c:v>
                </c:pt>
                <c:pt idx="28">
                  <c:v>980</c:v>
                </c:pt>
                <c:pt idx="29">
                  <c:v>990</c:v>
                </c:pt>
              </c:numCache>
            </c:numRef>
          </c:yVal>
          <c:smooth val="0"/>
        </c:ser>
        <c:ser>
          <c:idx val="1"/>
          <c:order val="1"/>
          <c:tx>
            <c:strRef>
              <c:f>"Предсказанное Прибыль, млн руб., Y"</c:f>
              <c:strCache>
                <c:ptCount val="1"/>
                <c:pt idx="0">
                  <c:v>Предсказанное Прибыль, млн руб., Y</c:v>
                </c:pt>
              </c:strCache>
            </c:strRef>
          </c:tx>
          <c:spPr>
            <a:ln w="19050" cap="rnd" cmpd="sng" algn="ctr">
              <a:noFill/>
              <a:prstDash val="solid"/>
              <a:round/>
            </a:ln>
          </c:spPr>
          <c:dLbls>
            <c:delete val="1"/>
          </c:dLbls>
          <c:xVal>
            <c:numRef>
              <c:f>'Исходные данные 4'!$C$2:$C$31</c:f>
              <c:numCache>
                <c:formatCode>General</c:formatCode>
                <c:ptCount val="30"/>
                <c:pt idx="0">
                  <c:v>145</c:v>
                </c:pt>
                <c:pt idx="1">
                  <c:v>150</c:v>
                </c:pt>
                <c:pt idx="2">
                  <c:v>160</c:v>
                </c:pt>
                <c:pt idx="3">
                  <c:v>165</c:v>
                </c:pt>
                <c:pt idx="4">
                  <c:v>165</c:v>
                </c:pt>
                <c:pt idx="5">
                  <c:v>164</c:v>
                </c:pt>
                <c:pt idx="6">
                  <c:v>170</c:v>
                </c:pt>
                <c:pt idx="7">
                  <c:v>175</c:v>
                </c:pt>
                <c:pt idx="8">
                  <c:v>180</c:v>
                </c:pt>
                <c:pt idx="9">
                  <c:v>192</c:v>
                </c:pt>
                <c:pt idx="10">
                  <c:v>195</c:v>
                </c:pt>
                <c:pt idx="11">
                  <c:v>196</c:v>
                </c:pt>
                <c:pt idx="12">
                  <c:v>199</c:v>
                </c:pt>
                <c:pt idx="13">
                  <c:v>200</c:v>
                </c:pt>
                <c:pt idx="14">
                  <c:v>200</c:v>
                </c:pt>
                <c:pt idx="15">
                  <c:v>205</c:v>
                </c:pt>
                <c:pt idx="16">
                  <c:v>210</c:v>
                </c:pt>
                <c:pt idx="17">
                  <c:v>220</c:v>
                </c:pt>
                <c:pt idx="18">
                  <c:v>230</c:v>
                </c:pt>
                <c:pt idx="19">
                  <c:v>240</c:v>
                </c:pt>
                <c:pt idx="20">
                  <c:v>250</c:v>
                </c:pt>
                <c:pt idx="21">
                  <c:v>260</c:v>
                </c:pt>
                <c:pt idx="22">
                  <c:v>270</c:v>
                </c:pt>
                <c:pt idx="23">
                  <c:v>275</c:v>
                </c:pt>
                <c:pt idx="24">
                  <c:v>280</c:v>
                </c:pt>
                <c:pt idx="25">
                  <c:v>290</c:v>
                </c:pt>
                <c:pt idx="26">
                  <c:v>295</c:v>
                </c:pt>
                <c:pt idx="27">
                  <c:v>300</c:v>
                </c:pt>
                <c:pt idx="28">
                  <c:v>380</c:v>
                </c:pt>
                <c:pt idx="29">
                  <c:v>410</c:v>
                </c:pt>
              </c:numCache>
            </c:numRef>
          </c:xVal>
          <c:yVal>
            <c:numRef>
              <c:f>'Анализ данных 4'!$B$29:$B$58</c:f>
              <c:numCache>
                <c:formatCode>General</c:formatCode>
                <c:ptCount val="30"/>
                <c:pt idx="0">
                  <c:v>364.703657807909</c:v>
                </c:pt>
                <c:pt idx="1">
                  <c:v>396.122569733059</c:v>
                </c:pt>
                <c:pt idx="2">
                  <c:v>400.265397058013</c:v>
                </c:pt>
                <c:pt idx="3">
                  <c:v>427.166392359891</c:v>
                </c:pt>
                <c:pt idx="4">
                  <c:v>455.191157856836</c:v>
                </c:pt>
                <c:pt idx="5">
                  <c:v>443.416360160482</c:v>
                </c:pt>
                <c:pt idx="6">
                  <c:v>484.360887318136</c:v>
                </c:pt>
                <c:pt idx="7">
                  <c:v>488.557296732775</c:v>
                </c:pt>
                <c:pt idx="8">
                  <c:v>496.182409844844</c:v>
                </c:pt>
                <c:pt idx="9">
                  <c:v>573.43271332439</c:v>
                </c:pt>
                <c:pt idx="10">
                  <c:v>656.668327502795</c:v>
                </c:pt>
                <c:pt idx="11">
                  <c:v>619.026301425129</c:v>
                </c:pt>
                <c:pt idx="12">
                  <c:v>632.362768583788</c:v>
                </c:pt>
                <c:pt idx="13">
                  <c:v>631.344239943469</c:v>
                </c:pt>
                <c:pt idx="14">
                  <c:v>670.039538045905</c:v>
                </c:pt>
                <c:pt idx="15">
                  <c:v>666.835780321214</c:v>
                </c:pt>
                <c:pt idx="16">
                  <c:v>690.623362897532</c:v>
                </c:pt>
                <c:pt idx="17">
                  <c:v>769.816632527404</c:v>
                </c:pt>
                <c:pt idx="18">
                  <c:v>761.965514204083</c:v>
                </c:pt>
                <c:pt idx="19">
                  <c:v>752.030061159388</c:v>
                </c:pt>
                <c:pt idx="20">
                  <c:v>777.157515128193</c:v>
                </c:pt>
                <c:pt idx="21">
                  <c:v>799.132687992746</c:v>
                </c:pt>
                <c:pt idx="22">
                  <c:v>844.599359600378</c:v>
                </c:pt>
                <c:pt idx="23">
                  <c:v>890.389945122066</c:v>
                </c:pt>
                <c:pt idx="24">
                  <c:v>880.946088555244</c:v>
                </c:pt>
                <c:pt idx="25">
                  <c:v>911.312631278827</c:v>
                </c:pt>
                <c:pt idx="26">
                  <c:v>914.011977391998</c:v>
                </c:pt>
                <c:pt idx="27">
                  <c:v>917.712634828699</c:v>
                </c:pt>
                <c:pt idx="28">
                  <c:v>983.432174246346</c:v>
                </c:pt>
                <c:pt idx="29">
                  <c:v>1010.19361704846</c:v>
                </c:pt>
              </c:numCache>
            </c:numRef>
          </c:yVal>
          <c:smooth val="0"/>
        </c:ser>
        <c:dLbls>
          <c:showLegendKey val="0"/>
          <c:showVal val="0"/>
          <c:showCatName val="0"/>
          <c:showSerName val="0"/>
          <c:showPercent val="0"/>
          <c:showBubbleSize val="0"/>
        </c:dLbls>
        <c:axId val="1234825871"/>
        <c:axId val="1233342207"/>
      </c:scatterChart>
      <c:valAx>
        <c:axId val="1234825871"/>
        <c:scaling>
          <c:orientation val="minMax"/>
        </c:scaling>
        <c:delete val="0"/>
        <c:axPos val="b"/>
        <c:title>
          <c:tx>
            <c:rich>
              <a:bodyPr rot="0" spcFirstLastPara="0" vertOverflow="ellipsis" vert="horz" wrap="square" anchor="ctr" anchorCtr="1"/>
              <a:lstStyle/>
              <a:p>
                <a:pPr>
                  <a:defRPr lang="ru-RU" sz="1000" b="1" i="0" u="none" strike="noStrike" kern="1200" baseline="0">
                    <a:solidFill>
                      <a:schemeClr val="tx1"/>
                    </a:solidFill>
                    <a:latin typeface="+mn-lt"/>
                    <a:ea typeface="+mn-ea"/>
                    <a:cs typeface="+mn-cs"/>
                  </a:defRPr>
                </a:pPr>
                <a:r>
                  <a:rPr lang="ru-RU"/>
                  <a:t>Инвестиции в основной капитал, млн руб., </a:t>
                </a:r>
                <a:r>
                  <a:rPr lang="en-US"/>
                  <a:t>X1</a:t>
                </a:r>
                <a:endParaRPr lang="en-US"/>
              </a:p>
            </c:rich>
          </c:tx>
          <c:layout/>
          <c:overlay val="0"/>
        </c:title>
        <c:numFmt formatCode="General" sourceLinked="1"/>
        <c:majorTickMark val="out"/>
        <c:minorTickMark val="none"/>
        <c:tickLblPos val="nextTo"/>
        <c:txPr>
          <a:bodyPr rot="-60000000" spcFirstLastPara="0" vertOverflow="ellipsis" vert="horz" wrap="square" anchor="ctr" anchorCtr="1"/>
          <a:lstStyle/>
          <a:p>
            <a:pPr>
              <a:defRPr lang="ru-RU" sz="1000" b="0" i="0" u="none" strike="noStrike" kern="1200" baseline="0">
                <a:solidFill>
                  <a:schemeClr val="tx1"/>
                </a:solidFill>
                <a:latin typeface="+mn-lt"/>
                <a:ea typeface="+mn-ea"/>
                <a:cs typeface="+mn-cs"/>
              </a:defRPr>
            </a:pPr>
          </a:p>
        </c:txPr>
        <c:crossAx val="1233342207"/>
        <c:crosses val="autoZero"/>
        <c:crossBetween val="midCat"/>
      </c:valAx>
      <c:valAx>
        <c:axId val="1233342207"/>
        <c:scaling>
          <c:orientation val="minMax"/>
        </c:scaling>
        <c:delete val="0"/>
        <c:axPos val="l"/>
        <c:title>
          <c:tx>
            <c:rich>
              <a:bodyPr rot="-5400000" spcFirstLastPara="0" vertOverflow="ellipsis" vert="horz" wrap="square" anchor="ctr" anchorCtr="1"/>
              <a:lstStyle/>
              <a:p>
                <a:pPr>
                  <a:defRPr lang="ru-RU" sz="1000" b="1" i="0" u="none" strike="noStrike" kern="1200" baseline="0">
                    <a:solidFill>
                      <a:schemeClr val="tx1"/>
                    </a:solidFill>
                    <a:latin typeface="+mn-lt"/>
                    <a:ea typeface="+mn-ea"/>
                    <a:cs typeface="+mn-cs"/>
                  </a:defRPr>
                </a:pPr>
                <a:r>
                  <a:rPr lang="ru-RU"/>
                  <a:t>Прибыль, млн руб., </a:t>
                </a:r>
                <a:r>
                  <a:rPr lang="en-US"/>
                  <a:t>Y</a:t>
                </a:r>
                <a:endParaRPr lang="en-US"/>
              </a:p>
            </c:rich>
          </c:tx>
          <c:layout/>
          <c:overlay val="0"/>
        </c:title>
        <c:numFmt formatCode="General" sourceLinked="1"/>
        <c:majorTickMark val="out"/>
        <c:minorTickMark val="none"/>
        <c:tickLblPos val="nextTo"/>
        <c:txPr>
          <a:bodyPr rot="-60000000" spcFirstLastPara="0" vertOverflow="ellipsis" vert="horz" wrap="square" anchor="ctr" anchorCtr="1"/>
          <a:lstStyle/>
          <a:p>
            <a:pPr>
              <a:defRPr lang="ru-RU" sz="1000" b="0" i="0" u="none" strike="noStrike" kern="1200" baseline="0">
                <a:solidFill>
                  <a:schemeClr val="tx1"/>
                </a:solidFill>
                <a:latin typeface="+mn-lt"/>
                <a:ea typeface="+mn-ea"/>
                <a:cs typeface="+mn-cs"/>
              </a:defRPr>
            </a:pPr>
          </a:p>
        </c:txPr>
        <c:crossAx val="1234825871"/>
        <c:crosses val="autoZero"/>
        <c:crossBetween val="midCat"/>
      </c:valAx>
    </c:plotArea>
    <c:legend>
      <c:legendPos val="r"/>
      <c:layout/>
      <c:overlay val="0"/>
      <c:txPr>
        <a:bodyPr rot="0" spcFirstLastPara="0" vertOverflow="ellipsis" vert="horz" wrap="square" anchor="ctr" anchorCtr="1"/>
        <a:lstStyle/>
        <a:p>
          <a:pPr>
            <a:defRPr lang="ru-RU" sz="1000" b="0" i="0" u="none" strike="noStrike" kern="1200" baseline="0">
              <a:solidFill>
                <a:schemeClr val="tx1"/>
              </a:solidFill>
              <a:latin typeface="+mn-lt"/>
              <a:ea typeface="+mn-ea"/>
              <a:cs typeface="+mn-cs"/>
            </a:defRPr>
          </a:pPr>
        </a:p>
      </c:txPr>
    </c:legend>
    <c:plotVisOnly val="1"/>
    <c:dispBlanksAs val="gap"/>
    <c:showDLblsOverMax val="0"/>
    <c:extLst>
      <c:ext uri="{0b15fc19-7d7d-44ad-8c2d-2c3a37ce22c3}">
        <chartProps xmlns="https://web.wps.cn/et/2018/main" chartId="{87d2c375-3989-4ca8-8be5-d4cd143da426}"/>
      </c:ext>
    </c:extLst>
  </c:chart>
  <c:txPr>
    <a:bodyPr/>
    <a:lstStyle/>
    <a:p>
      <a:pPr>
        <a:defRPr lang="ru-RU"/>
      </a:pPr>
    </a:p>
  </c:txPr>
  <c:printSettings>
    <c:headerFooter/>
    <c:pageMargins b="0.75" l="0.7" r="0.7" t="0.75" header="0.3" footer="0.3"/>
    <c:pageSetup/>
  </c:printSettings>
</c:chartSpace>
</file>

<file path=xl/charts/chart35.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0" vertOverflow="ellipsis" vert="horz" wrap="square" anchor="ctr" anchorCtr="1"/>
          <a:lstStyle/>
          <a:p>
            <a:pPr>
              <a:defRPr lang="ru-RU" sz="1800" b="1" i="0" u="none" strike="noStrike" kern="1200" baseline="0">
                <a:solidFill>
                  <a:schemeClr val="tx1"/>
                </a:solidFill>
                <a:latin typeface="+mn-lt"/>
                <a:ea typeface="+mn-ea"/>
                <a:cs typeface="+mn-cs"/>
              </a:defRPr>
            </a:pPr>
            <a:r>
              <a:rPr lang="ru-RU"/>
              <a:t>Среднесписочная численность работников, чел., </a:t>
            </a:r>
            <a:r>
              <a:rPr lang="en-US"/>
              <a:t>X2 </a:t>
            </a:r>
            <a:r>
              <a:rPr lang="ru-RU"/>
              <a:t>График подбора</a:t>
            </a:r>
            <a:endParaRPr lang="ru-RU"/>
          </a:p>
        </c:rich>
      </c:tx>
      <c:layout/>
      <c:overlay val="0"/>
    </c:title>
    <c:autoTitleDeleted val="0"/>
    <c:plotArea>
      <c:layout/>
      <c:scatterChart>
        <c:scatterStyle val="marker"/>
        <c:varyColors val="0"/>
        <c:ser>
          <c:idx val="0"/>
          <c:order val="0"/>
          <c:tx>
            <c:strRef>
              <c:f>"Прибыль, млн руб., Y"</c:f>
              <c:strCache>
                <c:ptCount val="1"/>
                <c:pt idx="0">
                  <c:v>Прибыль, млн руб., Y</c:v>
                </c:pt>
              </c:strCache>
            </c:strRef>
          </c:tx>
          <c:spPr>
            <a:ln w="19050" cap="rnd" cmpd="sng" algn="ctr">
              <a:noFill/>
              <a:prstDash val="solid"/>
              <a:round/>
            </a:ln>
          </c:spPr>
          <c:dLbls>
            <c:delete val="1"/>
          </c:dLbls>
          <c:xVal>
            <c:numRef>
              <c:f>'Исходные данные 4'!$D$2:$D$31</c:f>
              <c:numCache>
                <c:formatCode>General</c:formatCode>
                <c:ptCount val="30"/>
                <c:pt idx="0">
                  <c:v>500</c:v>
                </c:pt>
                <c:pt idx="1">
                  <c:v>510</c:v>
                </c:pt>
                <c:pt idx="2">
                  <c:v>509</c:v>
                </c:pt>
                <c:pt idx="3">
                  <c:v>515</c:v>
                </c:pt>
                <c:pt idx="4">
                  <c:v>520</c:v>
                </c:pt>
                <c:pt idx="5">
                  <c:v>519</c:v>
                </c:pt>
                <c:pt idx="6">
                  <c:v>525</c:v>
                </c:pt>
                <c:pt idx="7">
                  <c:v>526</c:v>
                </c:pt>
                <c:pt idx="8">
                  <c:v>530</c:v>
                </c:pt>
                <c:pt idx="9">
                  <c:v>550</c:v>
                </c:pt>
                <c:pt idx="10">
                  <c:v>570</c:v>
                </c:pt>
                <c:pt idx="11">
                  <c:v>560</c:v>
                </c:pt>
                <c:pt idx="12">
                  <c:v>555</c:v>
                </c:pt>
                <c:pt idx="13">
                  <c:v>555</c:v>
                </c:pt>
                <c:pt idx="14">
                  <c:v>560</c:v>
                </c:pt>
                <c:pt idx="15">
                  <c:v>560</c:v>
                </c:pt>
                <c:pt idx="16">
                  <c:v>562</c:v>
                </c:pt>
                <c:pt idx="17">
                  <c:v>580</c:v>
                </c:pt>
                <c:pt idx="18">
                  <c:v>581</c:v>
                </c:pt>
                <c:pt idx="19">
                  <c:v>582</c:v>
                </c:pt>
                <c:pt idx="20">
                  <c:v>585</c:v>
                </c:pt>
                <c:pt idx="21">
                  <c:v>590</c:v>
                </c:pt>
                <c:pt idx="22">
                  <c:v>601</c:v>
                </c:pt>
                <c:pt idx="23">
                  <c:v>612</c:v>
                </c:pt>
                <c:pt idx="24">
                  <c:v>610</c:v>
                </c:pt>
                <c:pt idx="25">
                  <c:v>611</c:v>
                </c:pt>
                <c:pt idx="26">
                  <c:v>615</c:v>
                </c:pt>
                <c:pt idx="27">
                  <c:v>620</c:v>
                </c:pt>
                <c:pt idx="28">
                  <c:v>621</c:v>
                </c:pt>
                <c:pt idx="29">
                  <c:v>622</c:v>
                </c:pt>
              </c:numCache>
            </c:numRef>
          </c:xVal>
          <c:yVal>
            <c:numRef>
              <c:f>'Исходные данные 4'!$B$2:$B$31</c:f>
              <c:numCache>
                <c:formatCode>General</c:formatCode>
                <c:ptCount val="30"/>
                <c:pt idx="0">
                  <c:v>335</c:v>
                </c:pt>
                <c:pt idx="1">
                  <c:v>336</c:v>
                </c:pt>
                <c:pt idx="2">
                  <c:v>388</c:v>
                </c:pt>
                <c:pt idx="3">
                  <c:v>420</c:v>
                </c:pt>
                <c:pt idx="4">
                  <c:v>450</c:v>
                </c:pt>
                <c:pt idx="5">
                  <c:v>450</c:v>
                </c:pt>
                <c:pt idx="6">
                  <c:v>500</c:v>
                </c:pt>
                <c:pt idx="7">
                  <c:v>520</c:v>
                </c:pt>
                <c:pt idx="8">
                  <c:v>550</c:v>
                </c:pt>
                <c:pt idx="9">
                  <c:v>600</c:v>
                </c:pt>
                <c:pt idx="10">
                  <c:v>605</c:v>
                </c:pt>
                <c:pt idx="11">
                  <c:v>620</c:v>
                </c:pt>
                <c:pt idx="12">
                  <c:v>630</c:v>
                </c:pt>
                <c:pt idx="13">
                  <c:v>655</c:v>
                </c:pt>
                <c:pt idx="14">
                  <c:v>690</c:v>
                </c:pt>
                <c:pt idx="15">
                  <c:v>690</c:v>
                </c:pt>
                <c:pt idx="16">
                  <c:v>710</c:v>
                </c:pt>
                <c:pt idx="17">
                  <c:v>720</c:v>
                </c:pt>
                <c:pt idx="18">
                  <c:v>745</c:v>
                </c:pt>
                <c:pt idx="19">
                  <c:v>760</c:v>
                </c:pt>
                <c:pt idx="20">
                  <c:v>780</c:v>
                </c:pt>
                <c:pt idx="21">
                  <c:v>840</c:v>
                </c:pt>
                <c:pt idx="22">
                  <c:v>845</c:v>
                </c:pt>
                <c:pt idx="23">
                  <c:v>850</c:v>
                </c:pt>
                <c:pt idx="24">
                  <c:v>860</c:v>
                </c:pt>
                <c:pt idx="25">
                  <c:v>890</c:v>
                </c:pt>
                <c:pt idx="26">
                  <c:v>940</c:v>
                </c:pt>
                <c:pt idx="27">
                  <c:v>960</c:v>
                </c:pt>
                <c:pt idx="28">
                  <c:v>980</c:v>
                </c:pt>
                <c:pt idx="29">
                  <c:v>990</c:v>
                </c:pt>
              </c:numCache>
            </c:numRef>
          </c:yVal>
          <c:smooth val="0"/>
        </c:ser>
        <c:ser>
          <c:idx val="1"/>
          <c:order val="1"/>
          <c:tx>
            <c:strRef>
              <c:f>"Предсказанное Прибыль, млн руб., Y"</c:f>
              <c:strCache>
                <c:ptCount val="1"/>
                <c:pt idx="0">
                  <c:v>Предсказанное Прибыль, млн руб., Y</c:v>
                </c:pt>
              </c:strCache>
            </c:strRef>
          </c:tx>
          <c:spPr>
            <a:ln w="19050" cap="rnd" cmpd="sng" algn="ctr">
              <a:noFill/>
              <a:prstDash val="solid"/>
              <a:round/>
            </a:ln>
          </c:spPr>
          <c:dLbls>
            <c:delete val="1"/>
          </c:dLbls>
          <c:xVal>
            <c:numRef>
              <c:f>'Исходные данные 4'!$D$2:$D$31</c:f>
              <c:numCache>
                <c:formatCode>General</c:formatCode>
                <c:ptCount val="30"/>
                <c:pt idx="0">
                  <c:v>500</c:v>
                </c:pt>
                <c:pt idx="1">
                  <c:v>510</c:v>
                </c:pt>
                <c:pt idx="2">
                  <c:v>509</c:v>
                </c:pt>
                <c:pt idx="3">
                  <c:v>515</c:v>
                </c:pt>
                <c:pt idx="4">
                  <c:v>520</c:v>
                </c:pt>
                <c:pt idx="5">
                  <c:v>519</c:v>
                </c:pt>
                <c:pt idx="6">
                  <c:v>525</c:v>
                </c:pt>
                <c:pt idx="7">
                  <c:v>526</c:v>
                </c:pt>
                <c:pt idx="8">
                  <c:v>530</c:v>
                </c:pt>
                <c:pt idx="9">
                  <c:v>550</c:v>
                </c:pt>
                <c:pt idx="10">
                  <c:v>570</c:v>
                </c:pt>
                <c:pt idx="11">
                  <c:v>560</c:v>
                </c:pt>
                <c:pt idx="12">
                  <c:v>555</c:v>
                </c:pt>
                <c:pt idx="13">
                  <c:v>555</c:v>
                </c:pt>
                <c:pt idx="14">
                  <c:v>560</c:v>
                </c:pt>
                <c:pt idx="15">
                  <c:v>560</c:v>
                </c:pt>
                <c:pt idx="16">
                  <c:v>562</c:v>
                </c:pt>
                <c:pt idx="17">
                  <c:v>580</c:v>
                </c:pt>
                <c:pt idx="18">
                  <c:v>581</c:v>
                </c:pt>
                <c:pt idx="19">
                  <c:v>582</c:v>
                </c:pt>
                <c:pt idx="20">
                  <c:v>585</c:v>
                </c:pt>
                <c:pt idx="21">
                  <c:v>590</c:v>
                </c:pt>
                <c:pt idx="22">
                  <c:v>601</c:v>
                </c:pt>
                <c:pt idx="23">
                  <c:v>612</c:v>
                </c:pt>
                <c:pt idx="24">
                  <c:v>610</c:v>
                </c:pt>
                <c:pt idx="25">
                  <c:v>611</c:v>
                </c:pt>
                <c:pt idx="26">
                  <c:v>615</c:v>
                </c:pt>
                <c:pt idx="27">
                  <c:v>620</c:v>
                </c:pt>
                <c:pt idx="28">
                  <c:v>621</c:v>
                </c:pt>
                <c:pt idx="29">
                  <c:v>622</c:v>
                </c:pt>
              </c:numCache>
            </c:numRef>
          </c:xVal>
          <c:yVal>
            <c:numRef>
              <c:f>'Анализ данных 4'!$B$29:$B$58</c:f>
              <c:numCache>
                <c:formatCode>General</c:formatCode>
                <c:ptCount val="30"/>
                <c:pt idx="0">
                  <c:v>364.703657807909</c:v>
                </c:pt>
                <c:pt idx="1">
                  <c:v>396.122569733059</c:v>
                </c:pt>
                <c:pt idx="2">
                  <c:v>400.265397058013</c:v>
                </c:pt>
                <c:pt idx="3">
                  <c:v>427.166392359891</c:v>
                </c:pt>
                <c:pt idx="4">
                  <c:v>455.191157856836</c:v>
                </c:pt>
                <c:pt idx="5">
                  <c:v>443.416360160482</c:v>
                </c:pt>
                <c:pt idx="6">
                  <c:v>484.360887318136</c:v>
                </c:pt>
                <c:pt idx="7">
                  <c:v>488.557296732775</c:v>
                </c:pt>
                <c:pt idx="8">
                  <c:v>496.182409844844</c:v>
                </c:pt>
                <c:pt idx="9">
                  <c:v>573.43271332439</c:v>
                </c:pt>
                <c:pt idx="10">
                  <c:v>656.668327502795</c:v>
                </c:pt>
                <c:pt idx="11">
                  <c:v>619.026301425129</c:v>
                </c:pt>
                <c:pt idx="12">
                  <c:v>632.362768583788</c:v>
                </c:pt>
                <c:pt idx="13">
                  <c:v>631.344239943469</c:v>
                </c:pt>
                <c:pt idx="14">
                  <c:v>670.039538045905</c:v>
                </c:pt>
                <c:pt idx="15">
                  <c:v>666.835780321214</c:v>
                </c:pt>
                <c:pt idx="16">
                  <c:v>690.623362897532</c:v>
                </c:pt>
                <c:pt idx="17">
                  <c:v>769.816632527404</c:v>
                </c:pt>
                <c:pt idx="18">
                  <c:v>761.965514204083</c:v>
                </c:pt>
                <c:pt idx="19">
                  <c:v>752.030061159388</c:v>
                </c:pt>
                <c:pt idx="20">
                  <c:v>777.157515128193</c:v>
                </c:pt>
                <c:pt idx="21">
                  <c:v>799.132687992746</c:v>
                </c:pt>
                <c:pt idx="22">
                  <c:v>844.599359600378</c:v>
                </c:pt>
                <c:pt idx="23">
                  <c:v>890.389945122066</c:v>
                </c:pt>
                <c:pt idx="24">
                  <c:v>880.946088555244</c:v>
                </c:pt>
                <c:pt idx="25">
                  <c:v>911.312631278827</c:v>
                </c:pt>
                <c:pt idx="26">
                  <c:v>914.011977391998</c:v>
                </c:pt>
                <c:pt idx="27">
                  <c:v>917.712634828699</c:v>
                </c:pt>
                <c:pt idx="28">
                  <c:v>983.432174246346</c:v>
                </c:pt>
                <c:pt idx="29">
                  <c:v>1010.19361704846</c:v>
                </c:pt>
              </c:numCache>
            </c:numRef>
          </c:yVal>
          <c:smooth val="0"/>
        </c:ser>
        <c:dLbls>
          <c:showLegendKey val="0"/>
          <c:showVal val="0"/>
          <c:showCatName val="0"/>
          <c:showSerName val="0"/>
          <c:showPercent val="0"/>
          <c:showBubbleSize val="0"/>
        </c:dLbls>
        <c:axId val="1234824271"/>
        <c:axId val="1233344703"/>
      </c:scatterChart>
      <c:valAx>
        <c:axId val="1234824271"/>
        <c:scaling>
          <c:orientation val="minMax"/>
        </c:scaling>
        <c:delete val="0"/>
        <c:axPos val="b"/>
        <c:title>
          <c:tx>
            <c:rich>
              <a:bodyPr rot="0" spcFirstLastPara="0" vertOverflow="ellipsis" vert="horz" wrap="square" anchor="ctr" anchorCtr="1"/>
              <a:lstStyle/>
              <a:p>
                <a:pPr>
                  <a:defRPr lang="ru-RU" sz="1000" b="1" i="0" u="none" strike="noStrike" kern="1200" baseline="0">
                    <a:solidFill>
                      <a:schemeClr val="tx1"/>
                    </a:solidFill>
                    <a:latin typeface="+mn-lt"/>
                    <a:ea typeface="+mn-ea"/>
                    <a:cs typeface="+mn-cs"/>
                  </a:defRPr>
                </a:pPr>
                <a:r>
                  <a:rPr lang="ru-RU"/>
                  <a:t>Среднесписочная численность работников, чел., </a:t>
                </a:r>
                <a:r>
                  <a:rPr lang="en-US"/>
                  <a:t>X2</a:t>
                </a:r>
                <a:endParaRPr lang="en-US"/>
              </a:p>
            </c:rich>
          </c:tx>
          <c:layout/>
          <c:overlay val="0"/>
        </c:title>
        <c:numFmt formatCode="General" sourceLinked="1"/>
        <c:majorTickMark val="out"/>
        <c:minorTickMark val="none"/>
        <c:tickLblPos val="nextTo"/>
        <c:txPr>
          <a:bodyPr rot="-60000000" spcFirstLastPara="0" vertOverflow="ellipsis" vert="horz" wrap="square" anchor="ctr" anchorCtr="1"/>
          <a:lstStyle/>
          <a:p>
            <a:pPr>
              <a:defRPr lang="ru-RU" sz="1000" b="0" i="0" u="none" strike="noStrike" kern="1200" baseline="0">
                <a:solidFill>
                  <a:schemeClr val="tx1"/>
                </a:solidFill>
                <a:latin typeface="+mn-lt"/>
                <a:ea typeface="+mn-ea"/>
                <a:cs typeface="+mn-cs"/>
              </a:defRPr>
            </a:pPr>
          </a:p>
        </c:txPr>
        <c:crossAx val="1233344703"/>
        <c:crosses val="autoZero"/>
        <c:crossBetween val="midCat"/>
      </c:valAx>
      <c:valAx>
        <c:axId val="1233344703"/>
        <c:scaling>
          <c:orientation val="minMax"/>
        </c:scaling>
        <c:delete val="0"/>
        <c:axPos val="l"/>
        <c:title>
          <c:tx>
            <c:rich>
              <a:bodyPr rot="-5400000" spcFirstLastPara="0" vertOverflow="ellipsis" vert="horz" wrap="square" anchor="ctr" anchorCtr="1"/>
              <a:lstStyle/>
              <a:p>
                <a:pPr>
                  <a:defRPr lang="ru-RU" sz="1000" b="1" i="0" u="none" strike="noStrike" kern="1200" baseline="0">
                    <a:solidFill>
                      <a:schemeClr val="tx1"/>
                    </a:solidFill>
                    <a:latin typeface="+mn-lt"/>
                    <a:ea typeface="+mn-ea"/>
                    <a:cs typeface="+mn-cs"/>
                  </a:defRPr>
                </a:pPr>
                <a:r>
                  <a:rPr lang="ru-RU"/>
                  <a:t>Прибыль, млн руб., </a:t>
                </a:r>
                <a:r>
                  <a:rPr lang="en-US"/>
                  <a:t>Y</a:t>
                </a:r>
                <a:endParaRPr lang="en-US"/>
              </a:p>
            </c:rich>
          </c:tx>
          <c:layout/>
          <c:overlay val="0"/>
        </c:title>
        <c:numFmt formatCode="General" sourceLinked="1"/>
        <c:majorTickMark val="out"/>
        <c:minorTickMark val="none"/>
        <c:tickLblPos val="nextTo"/>
        <c:txPr>
          <a:bodyPr rot="-60000000" spcFirstLastPara="0" vertOverflow="ellipsis" vert="horz" wrap="square" anchor="ctr" anchorCtr="1"/>
          <a:lstStyle/>
          <a:p>
            <a:pPr>
              <a:defRPr lang="ru-RU" sz="1000" b="0" i="0" u="none" strike="noStrike" kern="1200" baseline="0">
                <a:solidFill>
                  <a:schemeClr val="tx1"/>
                </a:solidFill>
                <a:latin typeface="+mn-lt"/>
                <a:ea typeface="+mn-ea"/>
                <a:cs typeface="+mn-cs"/>
              </a:defRPr>
            </a:pPr>
          </a:p>
        </c:txPr>
        <c:crossAx val="1234824271"/>
        <c:crosses val="autoZero"/>
        <c:crossBetween val="midCat"/>
      </c:valAx>
    </c:plotArea>
    <c:legend>
      <c:legendPos val="r"/>
      <c:layout/>
      <c:overlay val="0"/>
      <c:txPr>
        <a:bodyPr rot="0" spcFirstLastPara="0" vertOverflow="ellipsis" vert="horz" wrap="square" anchor="ctr" anchorCtr="1"/>
        <a:lstStyle/>
        <a:p>
          <a:pPr>
            <a:defRPr lang="ru-RU" sz="1000" b="0" i="0" u="none" strike="noStrike" kern="1200" baseline="0">
              <a:solidFill>
                <a:schemeClr val="tx1"/>
              </a:solidFill>
              <a:latin typeface="+mn-lt"/>
              <a:ea typeface="+mn-ea"/>
              <a:cs typeface="+mn-cs"/>
            </a:defRPr>
          </a:pPr>
        </a:p>
      </c:txPr>
    </c:legend>
    <c:plotVisOnly val="1"/>
    <c:dispBlanksAs val="gap"/>
    <c:showDLblsOverMax val="0"/>
    <c:extLst>
      <c:ext uri="{0b15fc19-7d7d-44ad-8c2d-2c3a37ce22c3}">
        <chartProps xmlns="https://web.wps.cn/et/2018/main" chartId="{0fdd08ce-afbf-494b-840f-d53b5cfb7b2d}"/>
      </c:ext>
    </c:extLst>
  </c:chart>
  <c:txPr>
    <a:bodyPr/>
    <a:lstStyle/>
    <a:p>
      <a:pPr>
        <a:defRPr lang="ru-RU"/>
      </a:pPr>
    </a:p>
  </c:txPr>
  <c:printSettings>
    <c:headerFooter/>
    <c:pageMargins b="0.75" l="0.7" r="0.7" t="0.75" header="0.3" footer="0.3"/>
    <c:pageSetup/>
  </c:printSettings>
</c:chartSpace>
</file>

<file path=xl/charts/chart36.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0" vertOverflow="ellipsis" vert="horz" wrap="square" anchor="ctr" anchorCtr="1"/>
          <a:lstStyle/>
          <a:p>
            <a:pPr>
              <a:defRPr lang="ru-RU" sz="1800" b="1" i="0" u="none" strike="noStrike" kern="1200" baseline="0">
                <a:solidFill>
                  <a:schemeClr val="tx1"/>
                </a:solidFill>
                <a:latin typeface="+mn-lt"/>
                <a:ea typeface="+mn-ea"/>
                <a:cs typeface="+mn-cs"/>
              </a:defRPr>
            </a:pPr>
            <a:r>
              <a:rPr lang="ru-RU"/>
              <a:t>Стоимость основных производственных фондов, млн руб., </a:t>
            </a:r>
            <a:r>
              <a:rPr lang="en-US"/>
              <a:t>X3 </a:t>
            </a:r>
            <a:r>
              <a:rPr lang="ru-RU"/>
              <a:t>График подбора</a:t>
            </a:r>
            <a:endParaRPr lang="ru-RU"/>
          </a:p>
        </c:rich>
      </c:tx>
      <c:layout/>
      <c:overlay val="0"/>
    </c:title>
    <c:autoTitleDeleted val="0"/>
    <c:plotArea>
      <c:layout/>
      <c:scatterChart>
        <c:scatterStyle val="marker"/>
        <c:varyColors val="0"/>
        <c:ser>
          <c:idx val="0"/>
          <c:order val="0"/>
          <c:tx>
            <c:strRef>
              <c:f>"Прибыль, млн руб., Y"</c:f>
              <c:strCache>
                <c:ptCount val="1"/>
                <c:pt idx="0">
                  <c:v>Прибыль, млн руб., Y</c:v>
                </c:pt>
              </c:strCache>
            </c:strRef>
          </c:tx>
          <c:spPr>
            <a:ln w="19050" cap="rnd" cmpd="sng" algn="ctr">
              <a:noFill/>
              <a:prstDash val="solid"/>
              <a:round/>
            </a:ln>
          </c:spPr>
          <c:dLbls>
            <c:delete val="1"/>
          </c:dLbls>
          <c:xVal>
            <c:numRef>
              <c:f>'Исходные данные 4'!$E$2:$E$31</c:f>
              <c:numCache>
                <c:formatCode>General</c:formatCode>
                <c:ptCount val="30"/>
                <c:pt idx="0">
                  <c:v>1340</c:v>
                </c:pt>
                <c:pt idx="1">
                  <c:v>1560</c:v>
                </c:pt>
                <c:pt idx="2">
                  <c:v>1590</c:v>
                </c:pt>
                <c:pt idx="3">
                  <c:v>1680</c:v>
                </c:pt>
                <c:pt idx="4">
                  <c:v>1450</c:v>
                </c:pt>
                <c:pt idx="5">
                  <c:v>1600</c:v>
                </c:pt>
                <c:pt idx="6">
                  <c:v>1200</c:v>
                </c:pt>
                <c:pt idx="7">
                  <c:v>1280</c:v>
                </c:pt>
                <c:pt idx="8">
                  <c:v>1560</c:v>
                </c:pt>
                <c:pt idx="9">
                  <c:v>1680</c:v>
                </c:pt>
                <c:pt idx="10">
                  <c:v>1780</c:v>
                </c:pt>
                <c:pt idx="11">
                  <c:v>1890</c:v>
                </c:pt>
                <c:pt idx="12">
                  <c:v>1580</c:v>
                </c:pt>
                <c:pt idx="13">
                  <c:v>1760</c:v>
                </c:pt>
                <c:pt idx="14">
                  <c:v>1340</c:v>
                </c:pt>
                <c:pt idx="15">
                  <c:v>1670</c:v>
                </c:pt>
                <c:pt idx="16">
                  <c:v>1350</c:v>
                </c:pt>
                <c:pt idx="17">
                  <c:v>1240</c:v>
                </c:pt>
                <c:pt idx="18">
                  <c:v>1450</c:v>
                </c:pt>
                <c:pt idx="19">
                  <c:v>1670</c:v>
                </c:pt>
                <c:pt idx="20">
                  <c:v>1280</c:v>
                </c:pt>
                <c:pt idx="21">
                  <c:v>1340</c:v>
                </c:pt>
                <c:pt idx="22">
                  <c:v>1450</c:v>
                </c:pt>
                <c:pt idx="23">
                  <c:v>1450</c:v>
                </c:pt>
                <c:pt idx="24">
                  <c:v>1670</c:v>
                </c:pt>
                <c:pt idx="25">
                  <c:v>1330</c:v>
                </c:pt>
                <c:pt idx="26">
                  <c:v>1560</c:v>
                </c:pt>
                <c:pt idx="27">
                  <c:v>1760</c:v>
                </c:pt>
                <c:pt idx="28">
                  <c:v>1650</c:v>
                </c:pt>
                <c:pt idx="29">
                  <c:v>1890</c:v>
                </c:pt>
              </c:numCache>
            </c:numRef>
          </c:xVal>
          <c:yVal>
            <c:numRef>
              <c:f>'Исходные данные 4'!$B$2:$B$31</c:f>
              <c:numCache>
                <c:formatCode>General</c:formatCode>
                <c:ptCount val="30"/>
                <c:pt idx="0">
                  <c:v>335</c:v>
                </c:pt>
                <c:pt idx="1">
                  <c:v>336</c:v>
                </c:pt>
                <c:pt idx="2">
                  <c:v>388</c:v>
                </c:pt>
                <c:pt idx="3">
                  <c:v>420</c:v>
                </c:pt>
                <c:pt idx="4">
                  <c:v>450</c:v>
                </c:pt>
                <c:pt idx="5">
                  <c:v>450</c:v>
                </c:pt>
                <c:pt idx="6">
                  <c:v>500</c:v>
                </c:pt>
                <c:pt idx="7">
                  <c:v>520</c:v>
                </c:pt>
                <c:pt idx="8">
                  <c:v>550</c:v>
                </c:pt>
                <c:pt idx="9">
                  <c:v>600</c:v>
                </c:pt>
                <c:pt idx="10">
                  <c:v>605</c:v>
                </c:pt>
                <c:pt idx="11">
                  <c:v>620</c:v>
                </c:pt>
                <c:pt idx="12">
                  <c:v>630</c:v>
                </c:pt>
                <c:pt idx="13">
                  <c:v>655</c:v>
                </c:pt>
                <c:pt idx="14">
                  <c:v>690</c:v>
                </c:pt>
                <c:pt idx="15">
                  <c:v>690</c:v>
                </c:pt>
                <c:pt idx="16">
                  <c:v>710</c:v>
                </c:pt>
                <c:pt idx="17">
                  <c:v>720</c:v>
                </c:pt>
                <c:pt idx="18">
                  <c:v>745</c:v>
                </c:pt>
                <c:pt idx="19">
                  <c:v>760</c:v>
                </c:pt>
                <c:pt idx="20">
                  <c:v>780</c:v>
                </c:pt>
                <c:pt idx="21">
                  <c:v>840</c:v>
                </c:pt>
                <c:pt idx="22">
                  <c:v>845</c:v>
                </c:pt>
                <c:pt idx="23">
                  <c:v>850</c:v>
                </c:pt>
                <c:pt idx="24">
                  <c:v>860</c:v>
                </c:pt>
                <c:pt idx="25">
                  <c:v>890</c:v>
                </c:pt>
                <c:pt idx="26">
                  <c:v>940</c:v>
                </c:pt>
                <c:pt idx="27">
                  <c:v>960</c:v>
                </c:pt>
                <c:pt idx="28">
                  <c:v>980</c:v>
                </c:pt>
                <c:pt idx="29">
                  <c:v>990</c:v>
                </c:pt>
              </c:numCache>
            </c:numRef>
          </c:yVal>
          <c:smooth val="0"/>
        </c:ser>
        <c:ser>
          <c:idx val="1"/>
          <c:order val="1"/>
          <c:tx>
            <c:strRef>
              <c:f>"Предсказанное Прибыль, млн руб., Y"</c:f>
              <c:strCache>
                <c:ptCount val="1"/>
                <c:pt idx="0">
                  <c:v>Предсказанное Прибыль, млн руб., Y</c:v>
                </c:pt>
              </c:strCache>
            </c:strRef>
          </c:tx>
          <c:spPr>
            <a:ln w="19050" cap="rnd" cmpd="sng" algn="ctr">
              <a:noFill/>
              <a:prstDash val="solid"/>
              <a:round/>
            </a:ln>
          </c:spPr>
          <c:dLbls>
            <c:delete val="1"/>
          </c:dLbls>
          <c:xVal>
            <c:numRef>
              <c:f>'Исходные данные 4'!$E$2:$E$31</c:f>
              <c:numCache>
                <c:formatCode>General</c:formatCode>
                <c:ptCount val="30"/>
                <c:pt idx="0">
                  <c:v>1340</c:v>
                </c:pt>
                <c:pt idx="1">
                  <c:v>1560</c:v>
                </c:pt>
                <c:pt idx="2">
                  <c:v>1590</c:v>
                </c:pt>
                <c:pt idx="3">
                  <c:v>1680</c:v>
                </c:pt>
                <c:pt idx="4">
                  <c:v>1450</c:v>
                </c:pt>
                <c:pt idx="5">
                  <c:v>1600</c:v>
                </c:pt>
                <c:pt idx="6">
                  <c:v>1200</c:v>
                </c:pt>
                <c:pt idx="7">
                  <c:v>1280</c:v>
                </c:pt>
                <c:pt idx="8">
                  <c:v>1560</c:v>
                </c:pt>
                <c:pt idx="9">
                  <c:v>1680</c:v>
                </c:pt>
                <c:pt idx="10">
                  <c:v>1780</c:v>
                </c:pt>
                <c:pt idx="11">
                  <c:v>1890</c:v>
                </c:pt>
                <c:pt idx="12">
                  <c:v>1580</c:v>
                </c:pt>
                <c:pt idx="13">
                  <c:v>1760</c:v>
                </c:pt>
                <c:pt idx="14">
                  <c:v>1340</c:v>
                </c:pt>
                <c:pt idx="15">
                  <c:v>1670</c:v>
                </c:pt>
                <c:pt idx="16">
                  <c:v>1350</c:v>
                </c:pt>
                <c:pt idx="17">
                  <c:v>1240</c:v>
                </c:pt>
                <c:pt idx="18">
                  <c:v>1450</c:v>
                </c:pt>
                <c:pt idx="19">
                  <c:v>1670</c:v>
                </c:pt>
                <c:pt idx="20">
                  <c:v>1280</c:v>
                </c:pt>
                <c:pt idx="21">
                  <c:v>1340</c:v>
                </c:pt>
                <c:pt idx="22">
                  <c:v>1450</c:v>
                </c:pt>
                <c:pt idx="23">
                  <c:v>1450</c:v>
                </c:pt>
                <c:pt idx="24">
                  <c:v>1670</c:v>
                </c:pt>
                <c:pt idx="25">
                  <c:v>1330</c:v>
                </c:pt>
                <c:pt idx="26">
                  <c:v>1560</c:v>
                </c:pt>
                <c:pt idx="27">
                  <c:v>1760</c:v>
                </c:pt>
                <c:pt idx="28">
                  <c:v>1650</c:v>
                </c:pt>
                <c:pt idx="29">
                  <c:v>1890</c:v>
                </c:pt>
              </c:numCache>
            </c:numRef>
          </c:xVal>
          <c:yVal>
            <c:numRef>
              <c:f>'Анализ данных 4'!$B$29:$B$58</c:f>
              <c:numCache>
                <c:formatCode>General</c:formatCode>
                <c:ptCount val="30"/>
                <c:pt idx="0">
                  <c:v>364.703657807909</c:v>
                </c:pt>
                <c:pt idx="1">
                  <c:v>396.122569733059</c:v>
                </c:pt>
                <c:pt idx="2">
                  <c:v>400.265397058013</c:v>
                </c:pt>
                <c:pt idx="3">
                  <c:v>427.166392359891</c:v>
                </c:pt>
                <c:pt idx="4">
                  <c:v>455.191157856836</c:v>
                </c:pt>
                <c:pt idx="5">
                  <c:v>443.416360160482</c:v>
                </c:pt>
                <c:pt idx="6">
                  <c:v>484.360887318136</c:v>
                </c:pt>
                <c:pt idx="7">
                  <c:v>488.557296732775</c:v>
                </c:pt>
                <c:pt idx="8">
                  <c:v>496.182409844844</c:v>
                </c:pt>
                <c:pt idx="9">
                  <c:v>573.43271332439</c:v>
                </c:pt>
                <c:pt idx="10">
                  <c:v>656.668327502795</c:v>
                </c:pt>
                <c:pt idx="11">
                  <c:v>619.026301425129</c:v>
                </c:pt>
                <c:pt idx="12">
                  <c:v>632.362768583788</c:v>
                </c:pt>
                <c:pt idx="13">
                  <c:v>631.344239943469</c:v>
                </c:pt>
                <c:pt idx="14">
                  <c:v>670.039538045905</c:v>
                </c:pt>
                <c:pt idx="15">
                  <c:v>666.835780321214</c:v>
                </c:pt>
                <c:pt idx="16">
                  <c:v>690.623362897532</c:v>
                </c:pt>
                <c:pt idx="17">
                  <c:v>769.816632527404</c:v>
                </c:pt>
                <c:pt idx="18">
                  <c:v>761.965514204083</c:v>
                </c:pt>
                <c:pt idx="19">
                  <c:v>752.030061159388</c:v>
                </c:pt>
                <c:pt idx="20">
                  <c:v>777.157515128193</c:v>
                </c:pt>
                <c:pt idx="21">
                  <c:v>799.132687992746</c:v>
                </c:pt>
                <c:pt idx="22">
                  <c:v>844.599359600378</c:v>
                </c:pt>
                <c:pt idx="23">
                  <c:v>890.389945122066</c:v>
                </c:pt>
                <c:pt idx="24">
                  <c:v>880.946088555244</c:v>
                </c:pt>
                <c:pt idx="25">
                  <c:v>911.312631278827</c:v>
                </c:pt>
                <c:pt idx="26">
                  <c:v>914.011977391998</c:v>
                </c:pt>
                <c:pt idx="27">
                  <c:v>917.712634828699</c:v>
                </c:pt>
                <c:pt idx="28">
                  <c:v>983.432174246346</c:v>
                </c:pt>
                <c:pt idx="29">
                  <c:v>1010.19361704846</c:v>
                </c:pt>
              </c:numCache>
            </c:numRef>
          </c:yVal>
          <c:smooth val="0"/>
        </c:ser>
        <c:dLbls>
          <c:showLegendKey val="0"/>
          <c:showVal val="0"/>
          <c:showCatName val="0"/>
          <c:showSerName val="0"/>
          <c:showPercent val="0"/>
          <c:showBubbleSize val="0"/>
        </c:dLbls>
        <c:axId val="1303431695"/>
        <c:axId val="1233345119"/>
      </c:scatterChart>
      <c:valAx>
        <c:axId val="1303431695"/>
        <c:scaling>
          <c:orientation val="minMax"/>
        </c:scaling>
        <c:delete val="0"/>
        <c:axPos val="b"/>
        <c:title>
          <c:tx>
            <c:rich>
              <a:bodyPr rot="0" spcFirstLastPara="0" vertOverflow="ellipsis" vert="horz" wrap="square" anchor="ctr" anchorCtr="1"/>
              <a:lstStyle/>
              <a:p>
                <a:pPr>
                  <a:defRPr lang="ru-RU" sz="1000" b="1" i="0" u="none" strike="noStrike" kern="1200" baseline="0">
                    <a:solidFill>
                      <a:schemeClr val="tx1"/>
                    </a:solidFill>
                    <a:latin typeface="+mn-lt"/>
                    <a:ea typeface="+mn-ea"/>
                    <a:cs typeface="+mn-cs"/>
                  </a:defRPr>
                </a:pPr>
                <a:r>
                  <a:rPr lang="ru-RU"/>
                  <a:t>Стоимость основных производственных фондов, млн руб., </a:t>
                </a:r>
                <a:r>
                  <a:rPr lang="en-US"/>
                  <a:t>X3</a:t>
                </a:r>
                <a:endParaRPr lang="en-US"/>
              </a:p>
            </c:rich>
          </c:tx>
          <c:layout/>
          <c:overlay val="0"/>
        </c:title>
        <c:numFmt formatCode="General" sourceLinked="1"/>
        <c:majorTickMark val="out"/>
        <c:minorTickMark val="none"/>
        <c:tickLblPos val="nextTo"/>
        <c:txPr>
          <a:bodyPr rot="-60000000" spcFirstLastPara="0" vertOverflow="ellipsis" vert="horz" wrap="square" anchor="ctr" anchorCtr="1"/>
          <a:lstStyle/>
          <a:p>
            <a:pPr>
              <a:defRPr lang="ru-RU" sz="1000" b="0" i="0" u="none" strike="noStrike" kern="1200" baseline="0">
                <a:solidFill>
                  <a:schemeClr val="tx1"/>
                </a:solidFill>
                <a:latin typeface="+mn-lt"/>
                <a:ea typeface="+mn-ea"/>
                <a:cs typeface="+mn-cs"/>
              </a:defRPr>
            </a:pPr>
          </a:p>
        </c:txPr>
        <c:crossAx val="1233345119"/>
        <c:crosses val="autoZero"/>
        <c:crossBetween val="midCat"/>
      </c:valAx>
      <c:valAx>
        <c:axId val="1233345119"/>
        <c:scaling>
          <c:orientation val="minMax"/>
        </c:scaling>
        <c:delete val="0"/>
        <c:axPos val="l"/>
        <c:title>
          <c:tx>
            <c:rich>
              <a:bodyPr rot="-5400000" spcFirstLastPara="0" vertOverflow="ellipsis" vert="horz" wrap="square" anchor="ctr" anchorCtr="1"/>
              <a:lstStyle/>
              <a:p>
                <a:pPr>
                  <a:defRPr lang="ru-RU" sz="1000" b="1" i="0" u="none" strike="noStrike" kern="1200" baseline="0">
                    <a:solidFill>
                      <a:schemeClr val="tx1"/>
                    </a:solidFill>
                    <a:latin typeface="+mn-lt"/>
                    <a:ea typeface="+mn-ea"/>
                    <a:cs typeface="+mn-cs"/>
                  </a:defRPr>
                </a:pPr>
                <a:r>
                  <a:rPr lang="ru-RU"/>
                  <a:t>Прибыль, млн руб., </a:t>
                </a:r>
                <a:r>
                  <a:rPr lang="en-US"/>
                  <a:t>Y</a:t>
                </a:r>
                <a:endParaRPr lang="en-US"/>
              </a:p>
            </c:rich>
          </c:tx>
          <c:layout/>
          <c:overlay val="0"/>
        </c:title>
        <c:numFmt formatCode="General" sourceLinked="1"/>
        <c:majorTickMark val="out"/>
        <c:minorTickMark val="none"/>
        <c:tickLblPos val="nextTo"/>
        <c:txPr>
          <a:bodyPr rot="-60000000" spcFirstLastPara="0" vertOverflow="ellipsis" vert="horz" wrap="square" anchor="ctr" anchorCtr="1"/>
          <a:lstStyle/>
          <a:p>
            <a:pPr>
              <a:defRPr lang="ru-RU" sz="1000" b="0" i="0" u="none" strike="noStrike" kern="1200" baseline="0">
                <a:solidFill>
                  <a:schemeClr val="tx1"/>
                </a:solidFill>
                <a:latin typeface="+mn-lt"/>
                <a:ea typeface="+mn-ea"/>
                <a:cs typeface="+mn-cs"/>
              </a:defRPr>
            </a:pPr>
          </a:p>
        </c:txPr>
        <c:crossAx val="1303431695"/>
        <c:crosses val="autoZero"/>
        <c:crossBetween val="midCat"/>
      </c:valAx>
    </c:plotArea>
    <c:legend>
      <c:legendPos val="r"/>
      <c:layout/>
      <c:overlay val="0"/>
      <c:txPr>
        <a:bodyPr rot="0" spcFirstLastPara="0" vertOverflow="ellipsis" vert="horz" wrap="square" anchor="ctr" anchorCtr="1"/>
        <a:lstStyle/>
        <a:p>
          <a:pPr>
            <a:defRPr lang="ru-RU" sz="1000" b="0" i="0" u="none" strike="noStrike" kern="1200" baseline="0">
              <a:solidFill>
                <a:schemeClr val="tx1"/>
              </a:solidFill>
              <a:latin typeface="+mn-lt"/>
              <a:ea typeface="+mn-ea"/>
              <a:cs typeface="+mn-cs"/>
            </a:defRPr>
          </a:pPr>
        </a:p>
      </c:txPr>
    </c:legend>
    <c:plotVisOnly val="1"/>
    <c:dispBlanksAs val="gap"/>
    <c:showDLblsOverMax val="0"/>
    <c:extLst>
      <c:ext uri="{0b15fc19-7d7d-44ad-8c2d-2c3a37ce22c3}">
        <chartProps xmlns="https://web.wps.cn/et/2018/main" chartId="{bb9ae592-ba67-4148-97f1-9a48553bf296}"/>
      </c:ext>
    </c:extLst>
  </c:chart>
  <c:txPr>
    <a:bodyPr/>
    <a:lstStyle/>
    <a:p>
      <a:pPr>
        <a:defRPr lang="ru-RU"/>
      </a:pPr>
    </a:p>
  </c:txPr>
  <c:printSettings>
    <c:headerFooter/>
    <c:pageMargins b="0.75" l="0.7" r="0.7" t="0.75" header="0.3" footer="0.3"/>
    <c:pageSetup/>
  </c:printSettings>
</c:chartSpace>
</file>

<file path=xl/charts/chart37.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0" vertOverflow="ellipsis" vert="horz" wrap="square" anchor="ctr" anchorCtr="1"/>
          <a:lstStyle/>
          <a:p>
            <a:pPr>
              <a:defRPr lang="ru-RU" sz="1800" b="1" i="0" u="none" strike="noStrike" kern="1200" baseline="0">
                <a:solidFill>
                  <a:schemeClr val="tx1"/>
                </a:solidFill>
                <a:latin typeface="+mn-lt"/>
                <a:ea typeface="+mn-ea"/>
                <a:cs typeface="+mn-cs"/>
              </a:defRPr>
            </a:pPr>
            <a:r>
              <a:rPr lang="ru-RU"/>
              <a:t>Индекс рыночных цен, в разах, </a:t>
            </a:r>
            <a:r>
              <a:rPr lang="en-US"/>
              <a:t>X8 </a:t>
            </a:r>
            <a:r>
              <a:rPr lang="ru-RU"/>
              <a:t>График подбора</a:t>
            </a:r>
            <a:endParaRPr lang="ru-RU"/>
          </a:p>
        </c:rich>
      </c:tx>
      <c:layout/>
      <c:overlay val="0"/>
    </c:title>
    <c:autoTitleDeleted val="0"/>
    <c:plotArea>
      <c:layout/>
      <c:scatterChart>
        <c:scatterStyle val="marker"/>
        <c:varyColors val="0"/>
        <c:ser>
          <c:idx val="0"/>
          <c:order val="0"/>
          <c:tx>
            <c:strRef>
              <c:f>"Прибыль, млн руб., Y"</c:f>
              <c:strCache>
                <c:ptCount val="1"/>
                <c:pt idx="0">
                  <c:v>Прибыль, млн руб., Y</c:v>
                </c:pt>
              </c:strCache>
            </c:strRef>
          </c:tx>
          <c:spPr>
            <a:ln w="19050" cap="rnd" cmpd="sng" algn="ctr">
              <a:noFill/>
              <a:prstDash val="solid"/>
              <a:round/>
            </a:ln>
          </c:spPr>
          <c:dLbls>
            <c:delete val="1"/>
          </c:dLbls>
          <c:xVal>
            <c:numRef>
              <c:f>'Исходные данные 4'!$F$2:$F$31</c:f>
              <c:numCache>
                <c:formatCode>General</c:formatCode>
                <c:ptCount val="30"/>
                <c:pt idx="0">
                  <c:v>1.02</c:v>
                </c:pt>
                <c:pt idx="1">
                  <c:v>1.03</c:v>
                </c:pt>
                <c:pt idx="2">
                  <c:v>1.02</c:v>
                </c:pt>
                <c:pt idx="3">
                  <c:v>1.04</c:v>
                </c:pt>
                <c:pt idx="4">
                  <c:v>1.03</c:v>
                </c:pt>
                <c:pt idx="5">
                  <c:v>1.03</c:v>
                </c:pt>
                <c:pt idx="6">
                  <c:v>1.04</c:v>
                </c:pt>
                <c:pt idx="7">
                  <c:v>1.05</c:v>
                </c:pt>
                <c:pt idx="8">
                  <c:v>1.07</c:v>
                </c:pt>
                <c:pt idx="9">
                  <c:v>1.2</c:v>
                </c:pt>
                <c:pt idx="10">
                  <c:v>1.25</c:v>
                </c:pt>
                <c:pt idx="11">
                  <c:v>1.28</c:v>
                </c:pt>
                <c:pt idx="12">
                  <c:v>1.32</c:v>
                </c:pt>
                <c:pt idx="13">
                  <c:v>1.35</c:v>
                </c:pt>
                <c:pt idx="14">
                  <c:v>1.32</c:v>
                </c:pt>
                <c:pt idx="15">
                  <c:v>1.32</c:v>
                </c:pt>
                <c:pt idx="16">
                  <c:v>1.45</c:v>
                </c:pt>
                <c:pt idx="17">
                  <c:v>1.48</c:v>
                </c:pt>
                <c:pt idx="18">
                  <c:v>1.31</c:v>
                </c:pt>
                <c:pt idx="19">
                  <c:v>1.22</c:v>
                </c:pt>
                <c:pt idx="20">
                  <c:v>1.15</c:v>
                </c:pt>
                <c:pt idx="21">
                  <c:v>1.11</c:v>
                </c:pt>
                <c:pt idx="22">
                  <c:v>1.08</c:v>
                </c:pt>
                <c:pt idx="23">
                  <c:v>1.06</c:v>
                </c:pt>
                <c:pt idx="24">
                  <c:v>1.06</c:v>
                </c:pt>
                <c:pt idx="25">
                  <c:v>1.05</c:v>
                </c:pt>
                <c:pt idx="26">
                  <c:v>1.05</c:v>
                </c:pt>
                <c:pt idx="27">
                  <c:v>1.03</c:v>
                </c:pt>
                <c:pt idx="28">
                  <c:v>1.04</c:v>
                </c:pt>
                <c:pt idx="29">
                  <c:v>1.05</c:v>
                </c:pt>
              </c:numCache>
            </c:numRef>
          </c:xVal>
          <c:yVal>
            <c:numRef>
              <c:f>'Исходные данные 4'!$B$2:$B$31</c:f>
              <c:numCache>
                <c:formatCode>General</c:formatCode>
                <c:ptCount val="30"/>
                <c:pt idx="0">
                  <c:v>335</c:v>
                </c:pt>
                <c:pt idx="1">
                  <c:v>336</c:v>
                </c:pt>
                <c:pt idx="2">
                  <c:v>388</c:v>
                </c:pt>
                <c:pt idx="3">
                  <c:v>420</c:v>
                </c:pt>
                <c:pt idx="4">
                  <c:v>450</c:v>
                </c:pt>
                <c:pt idx="5">
                  <c:v>450</c:v>
                </c:pt>
                <c:pt idx="6">
                  <c:v>500</c:v>
                </c:pt>
                <c:pt idx="7">
                  <c:v>520</c:v>
                </c:pt>
                <c:pt idx="8">
                  <c:v>550</c:v>
                </c:pt>
                <c:pt idx="9">
                  <c:v>600</c:v>
                </c:pt>
                <c:pt idx="10">
                  <c:v>605</c:v>
                </c:pt>
                <c:pt idx="11">
                  <c:v>620</c:v>
                </c:pt>
                <c:pt idx="12">
                  <c:v>630</c:v>
                </c:pt>
                <c:pt idx="13">
                  <c:v>655</c:v>
                </c:pt>
                <c:pt idx="14">
                  <c:v>690</c:v>
                </c:pt>
                <c:pt idx="15">
                  <c:v>690</c:v>
                </c:pt>
                <c:pt idx="16">
                  <c:v>710</c:v>
                </c:pt>
                <c:pt idx="17">
                  <c:v>720</c:v>
                </c:pt>
                <c:pt idx="18">
                  <c:v>745</c:v>
                </c:pt>
                <c:pt idx="19">
                  <c:v>760</c:v>
                </c:pt>
                <c:pt idx="20">
                  <c:v>780</c:v>
                </c:pt>
                <c:pt idx="21">
                  <c:v>840</c:v>
                </c:pt>
                <c:pt idx="22">
                  <c:v>845</c:v>
                </c:pt>
                <c:pt idx="23">
                  <c:v>850</c:v>
                </c:pt>
                <c:pt idx="24">
                  <c:v>860</c:v>
                </c:pt>
                <c:pt idx="25">
                  <c:v>890</c:v>
                </c:pt>
                <c:pt idx="26">
                  <c:v>940</c:v>
                </c:pt>
                <c:pt idx="27">
                  <c:v>960</c:v>
                </c:pt>
                <c:pt idx="28">
                  <c:v>980</c:v>
                </c:pt>
                <c:pt idx="29">
                  <c:v>990</c:v>
                </c:pt>
              </c:numCache>
            </c:numRef>
          </c:yVal>
          <c:smooth val="0"/>
        </c:ser>
        <c:ser>
          <c:idx val="1"/>
          <c:order val="1"/>
          <c:tx>
            <c:strRef>
              <c:f>"Предсказанное Прибыль, млн руб., Y"</c:f>
              <c:strCache>
                <c:ptCount val="1"/>
                <c:pt idx="0">
                  <c:v>Предсказанное Прибыль, млн руб., Y</c:v>
                </c:pt>
              </c:strCache>
            </c:strRef>
          </c:tx>
          <c:spPr>
            <a:ln w="19050" cap="rnd" cmpd="sng" algn="ctr">
              <a:noFill/>
              <a:prstDash val="solid"/>
              <a:round/>
            </a:ln>
          </c:spPr>
          <c:dLbls>
            <c:delete val="1"/>
          </c:dLbls>
          <c:xVal>
            <c:numRef>
              <c:f>'Исходные данные 4'!$F$2:$F$31</c:f>
              <c:numCache>
                <c:formatCode>General</c:formatCode>
                <c:ptCount val="30"/>
                <c:pt idx="0">
                  <c:v>1.02</c:v>
                </c:pt>
                <c:pt idx="1">
                  <c:v>1.03</c:v>
                </c:pt>
                <c:pt idx="2">
                  <c:v>1.02</c:v>
                </c:pt>
                <c:pt idx="3">
                  <c:v>1.04</c:v>
                </c:pt>
                <c:pt idx="4">
                  <c:v>1.03</c:v>
                </c:pt>
                <c:pt idx="5">
                  <c:v>1.03</c:v>
                </c:pt>
                <c:pt idx="6">
                  <c:v>1.04</c:v>
                </c:pt>
                <c:pt idx="7">
                  <c:v>1.05</c:v>
                </c:pt>
                <c:pt idx="8">
                  <c:v>1.07</c:v>
                </c:pt>
                <c:pt idx="9">
                  <c:v>1.2</c:v>
                </c:pt>
                <c:pt idx="10">
                  <c:v>1.25</c:v>
                </c:pt>
                <c:pt idx="11">
                  <c:v>1.28</c:v>
                </c:pt>
                <c:pt idx="12">
                  <c:v>1.32</c:v>
                </c:pt>
                <c:pt idx="13">
                  <c:v>1.35</c:v>
                </c:pt>
                <c:pt idx="14">
                  <c:v>1.32</c:v>
                </c:pt>
                <c:pt idx="15">
                  <c:v>1.32</c:v>
                </c:pt>
                <c:pt idx="16">
                  <c:v>1.45</c:v>
                </c:pt>
                <c:pt idx="17">
                  <c:v>1.48</c:v>
                </c:pt>
                <c:pt idx="18">
                  <c:v>1.31</c:v>
                </c:pt>
                <c:pt idx="19">
                  <c:v>1.22</c:v>
                </c:pt>
                <c:pt idx="20">
                  <c:v>1.15</c:v>
                </c:pt>
                <c:pt idx="21">
                  <c:v>1.11</c:v>
                </c:pt>
                <c:pt idx="22">
                  <c:v>1.08</c:v>
                </c:pt>
                <c:pt idx="23">
                  <c:v>1.06</c:v>
                </c:pt>
                <c:pt idx="24">
                  <c:v>1.06</c:v>
                </c:pt>
                <c:pt idx="25">
                  <c:v>1.05</c:v>
                </c:pt>
                <c:pt idx="26">
                  <c:v>1.05</c:v>
                </c:pt>
                <c:pt idx="27">
                  <c:v>1.03</c:v>
                </c:pt>
                <c:pt idx="28">
                  <c:v>1.04</c:v>
                </c:pt>
                <c:pt idx="29">
                  <c:v>1.05</c:v>
                </c:pt>
              </c:numCache>
            </c:numRef>
          </c:xVal>
          <c:yVal>
            <c:numRef>
              <c:f>'Анализ данных 4'!$B$29:$B$58</c:f>
              <c:numCache>
                <c:formatCode>General</c:formatCode>
                <c:ptCount val="30"/>
                <c:pt idx="0">
                  <c:v>364.703657807909</c:v>
                </c:pt>
                <c:pt idx="1">
                  <c:v>396.122569733059</c:v>
                </c:pt>
                <c:pt idx="2">
                  <c:v>400.265397058013</c:v>
                </c:pt>
                <c:pt idx="3">
                  <c:v>427.166392359891</c:v>
                </c:pt>
                <c:pt idx="4">
                  <c:v>455.191157856836</c:v>
                </c:pt>
                <c:pt idx="5">
                  <c:v>443.416360160482</c:v>
                </c:pt>
                <c:pt idx="6">
                  <c:v>484.360887318136</c:v>
                </c:pt>
                <c:pt idx="7">
                  <c:v>488.557296732775</c:v>
                </c:pt>
                <c:pt idx="8">
                  <c:v>496.182409844844</c:v>
                </c:pt>
                <c:pt idx="9">
                  <c:v>573.43271332439</c:v>
                </c:pt>
                <c:pt idx="10">
                  <c:v>656.668327502795</c:v>
                </c:pt>
                <c:pt idx="11">
                  <c:v>619.026301425129</c:v>
                </c:pt>
                <c:pt idx="12">
                  <c:v>632.362768583788</c:v>
                </c:pt>
                <c:pt idx="13">
                  <c:v>631.344239943469</c:v>
                </c:pt>
                <c:pt idx="14">
                  <c:v>670.039538045905</c:v>
                </c:pt>
                <c:pt idx="15">
                  <c:v>666.835780321214</c:v>
                </c:pt>
                <c:pt idx="16">
                  <c:v>690.623362897532</c:v>
                </c:pt>
                <c:pt idx="17">
                  <c:v>769.816632527404</c:v>
                </c:pt>
                <c:pt idx="18">
                  <c:v>761.965514204083</c:v>
                </c:pt>
                <c:pt idx="19">
                  <c:v>752.030061159388</c:v>
                </c:pt>
                <c:pt idx="20">
                  <c:v>777.157515128193</c:v>
                </c:pt>
                <c:pt idx="21">
                  <c:v>799.132687992746</c:v>
                </c:pt>
                <c:pt idx="22">
                  <c:v>844.599359600378</c:v>
                </c:pt>
                <c:pt idx="23">
                  <c:v>890.389945122066</c:v>
                </c:pt>
                <c:pt idx="24">
                  <c:v>880.946088555244</c:v>
                </c:pt>
                <c:pt idx="25">
                  <c:v>911.312631278827</c:v>
                </c:pt>
                <c:pt idx="26">
                  <c:v>914.011977391998</c:v>
                </c:pt>
                <c:pt idx="27">
                  <c:v>917.712634828699</c:v>
                </c:pt>
                <c:pt idx="28">
                  <c:v>983.432174246346</c:v>
                </c:pt>
                <c:pt idx="29">
                  <c:v>1010.19361704846</c:v>
                </c:pt>
              </c:numCache>
            </c:numRef>
          </c:yVal>
          <c:smooth val="0"/>
        </c:ser>
        <c:dLbls>
          <c:showLegendKey val="0"/>
          <c:showVal val="0"/>
          <c:showCatName val="0"/>
          <c:showSerName val="0"/>
          <c:showPercent val="0"/>
          <c:showBubbleSize val="0"/>
        </c:dLbls>
        <c:axId val="1150509455"/>
        <c:axId val="1233339295"/>
      </c:scatterChart>
      <c:valAx>
        <c:axId val="1150509455"/>
        <c:scaling>
          <c:orientation val="minMax"/>
        </c:scaling>
        <c:delete val="0"/>
        <c:axPos val="b"/>
        <c:title>
          <c:tx>
            <c:rich>
              <a:bodyPr rot="0" spcFirstLastPara="0" vertOverflow="ellipsis" vert="horz" wrap="square" anchor="ctr" anchorCtr="1"/>
              <a:lstStyle/>
              <a:p>
                <a:pPr>
                  <a:defRPr lang="ru-RU" sz="1000" b="1" i="0" u="none" strike="noStrike" kern="1200" baseline="0">
                    <a:solidFill>
                      <a:schemeClr val="tx1"/>
                    </a:solidFill>
                    <a:latin typeface="+mn-lt"/>
                    <a:ea typeface="+mn-ea"/>
                    <a:cs typeface="+mn-cs"/>
                  </a:defRPr>
                </a:pPr>
                <a:r>
                  <a:rPr lang="ru-RU"/>
                  <a:t>Индекс рыночных цен, в разах, </a:t>
                </a:r>
                <a:r>
                  <a:rPr lang="en-US"/>
                  <a:t>X8</a:t>
                </a:r>
                <a:endParaRPr lang="en-US"/>
              </a:p>
            </c:rich>
          </c:tx>
          <c:layout/>
          <c:overlay val="0"/>
        </c:title>
        <c:numFmt formatCode="General" sourceLinked="1"/>
        <c:majorTickMark val="out"/>
        <c:minorTickMark val="none"/>
        <c:tickLblPos val="nextTo"/>
        <c:txPr>
          <a:bodyPr rot="-60000000" spcFirstLastPara="0" vertOverflow="ellipsis" vert="horz" wrap="square" anchor="ctr" anchorCtr="1"/>
          <a:lstStyle/>
          <a:p>
            <a:pPr>
              <a:defRPr lang="ru-RU" sz="1000" b="0" i="0" u="none" strike="noStrike" kern="1200" baseline="0">
                <a:solidFill>
                  <a:schemeClr val="tx1"/>
                </a:solidFill>
                <a:latin typeface="+mn-lt"/>
                <a:ea typeface="+mn-ea"/>
                <a:cs typeface="+mn-cs"/>
              </a:defRPr>
            </a:pPr>
          </a:p>
        </c:txPr>
        <c:crossAx val="1233339295"/>
        <c:crosses val="autoZero"/>
        <c:crossBetween val="midCat"/>
      </c:valAx>
      <c:valAx>
        <c:axId val="1233339295"/>
        <c:scaling>
          <c:orientation val="minMax"/>
        </c:scaling>
        <c:delete val="0"/>
        <c:axPos val="l"/>
        <c:title>
          <c:tx>
            <c:rich>
              <a:bodyPr rot="-5400000" spcFirstLastPara="0" vertOverflow="ellipsis" vert="horz" wrap="square" anchor="ctr" anchorCtr="1"/>
              <a:lstStyle/>
              <a:p>
                <a:pPr>
                  <a:defRPr lang="ru-RU" sz="1000" b="1" i="0" u="none" strike="noStrike" kern="1200" baseline="0">
                    <a:solidFill>
                      <a:schemeClr val="tx1"/>
                    </a:solidFill>
                    <a:latin typeface="+mn-lt"/>
                    <a:ea typeface="+mn-ea"/>
                    <a:cs typeface="+mn-cs"/>
                  </a:defRPr>
                </a:pPr>
                <a:r>
                  <a:rPr lang="ru-RU"/>
                  <a:t>Прибыль, млн руб., </a:t>
                </a:r>
                <a:r>
                  <a:rPr lang="en-US"/>
                  <a:t>Y</a:t>
                </a:r>
                <a:endParaRPr lang="en-US"/>
              </a:p>
            </c:rich>
          </c:tx>
          <c:layout/>
          <c:overlay val="0"/>
        </c:title>
        <c:numFmt formatCode="General" sourceLinked="1"/>
        <c:majorTickMark val="out"/>
        <c:minorTickMark val="none"/>
        <c:tickLblPos val="nextTo"/>
        <c:txPr>
          <a:bodyPr rot="-60000000" spcFirstLastPara="0" vertOverflow="ellipsis" vert="horz" wrap="square" anchor="ctr" anchorCtr="1"/>
          <a:lstStyle/>
          <a:p>
            <a:pPr>
              <a:defRPr lang="ru-RU" sz="1000" b="0" i="0" u="none" strike="noStrike" kern="1200" baseline="0">
                <a:solidFill>
                  <a:schemeClr val="tx1"/>
                </a:solidFill>
                <a:latin typeface="+mn-lt"/>
                <a:ea typeface="+mn-ea"/>
                <a:cs typeface="+mn-cs"/>
              </a:defRPr>
            </a:pPr>
          </a:p>
        </c:txPr>
        <c:crossAx val="1150509455"/>
        <c:crosses val="autoZero"/>
        <c:crossBetween val="midCat"/>
      </c:valAx>
    </c:plotArea>
    <c:legend>
      <c:legendPos val="r"/>
      <c:layout/>
      <c:overlay val="0"/>
      <c:txPr>
        <a:bodyPr rot="0" spcFirstLastPara="0" vertOverflow="ellipsis" vert="horz" wrap="square" anchor="ctr" anchorCtr="1"/>
        <a:lstStyle/>
        <a:p>
          <a:pPr>
            <a:defRPr lang="ru-RU" sz="1000" b="0" i="0" u="none" strike="noStrike" kern="1200" baseline="0">
              <a:solidFill>
                <a:schemeClr val="tx1"/>
              </a:solidFill>
              <a:latin typeface="+mn-lt"/>
              <a:ea typeface="+mn-ea"/>
              <a:cs typeface="+mn-cs"/>
            </a:defRPr>
          </a:pPr>
        </a:p>
      </c:txPr>
    </c:legend>
    <c:plotVisOnly val="1"/>
    <c:dispBlanksAs val="gap"/>
    <c:showDLblsOverMax val="0"/>
    <c:extLst>
      <c:ext uri="{0b15fc19-7d7d-44ad-8c2d-2c3a37ce22c3}">
        <chartProps xmlns="https://web.wps.cn/et/2018/main" chartId="{57892d20-ae28-4c0d-a3a3-ebc48017039e}"/>
      </c:ext>
    </c:extLst>
  </c:chart>
  <c:txPr>
    <a:bodyPr/>
    <a:lstStyle/>
    <a:p>
      <a:pPr>
        <a:defRPr lang="ru-RU"/>
      </a:pPr>
    </a:p>
  </c:txPr>
  <c:printSettings>
    <c:headerFooter/>
    <c:pageMargins b="0.75" l="0.7" r="0.7" t="0.75" header="0.3" footer="0.3"/>
    <c:pageSetup/>
  </c:printSettings>
</c:chartSpace>
</file>

<file path=xl/charts/chart38.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0" vertOverflow="ellipsis" vert="horz" wrap="square" anchor="ctr" anchorCtr="1"/>
          <a:lstStyle/>
          <a:p>
            <a:pPr>
              <a:defRPr lang="ru-RU" sz="1800" b="1" i="0" u="none" strike="noStrike" kern="1200" baseline="0">
                <a:solidFill>
                  <a:schemeClr val="tx1"/>
                </a:solidFill>
                <a:latin typeface="+mn-lt"/>
                <a:ea typeface="+mn-ea"/>
                <a:cs typeface="+mn-cs"/>
              </a:defRPr>
            </a:pPr>
            <a:r>
              <a:rPr lang="ru-RU"/>
              <a:t>Уровень использования производственных мощностей, %, </a:t>
            </a:r>
            <a:r>
              <a:rPr lang="en-US"/>
              <a:t>X9 </a:t>
            </a:r>
            <a:r>
              <a:rPr lang="ru-RU"/>
              <a:t>График подбора</a:t>
            </a:r>
            <a:endParaRPr lang="ru-RU"/>
          </a:p>
        </c:rich>
      </c:tx>
      <c:layout/>
      <c:overlay val="0"/>
    </c:title>
    <c:autoTitleDeleted val="0"/>
    <c:plotArea>
      <c:layout/>
      <c:scatterChart>
        <c:scatterStyle val="marker"/>
        <c:varyColors val="0"/>
        <c:ser>
          <c:idx val="0"/>
          <c:order val="0"/>
          <c:tx>
            <c:strRef>
              <c:f>"Прибыль, млн руб., Y"</c:f>
              <c:strCache>
                <c:ptCount val="1"/>
                <c:pt idx="0">
                  <c:v>Прибыль, млн руб., Y</c:v>
                </c:pt>
              </c:strCache>
            </c:strRef>
          </c:tx>
          <c:spPr>
            <a:ln w="19050" cap="rnd" cmpd="sng" algn="ctr">
              <a:noFill/>
              <a:prstDash val="solid"/>
              <a:round/>
            </a:ln>
          </c:spPr>
          <c:dLbls>
            <c:delete val="1"/>
          </c:dLbls>
          <c:xVal>
            <c:numRef>
              <c:f>'Исходные данные 4'!$G$2:$G$31</c:f>
              <c:numCache>
                <c:formatCode>General</c:formatCode>
                <c:ptCount val="30"/>
                <c:pt idx="0">
                  <c:v>96</c:v>
                </c:pt>
                <c:pt idx="1">
                  <c:v>97</c:v>
                </c:pt>
                <c:pt idx="2">
                  <c:v>96</c:v>
                </c:pt>
                <c:pt idx="3">
                  <c:v>93</c:v>
                </c:pt>
                <c:pt idx="4">
                  <c:v>93</c:v>
                </c:pt>
                <c:pt idx="5">
                  <c:v>94</c:v>
                </c:pt>
                <c:pt idx="6">
                  <c:v>95</c:v>
                </c:pt>
                <c:pt idx="7">
                  <c:v>95</c:v>
                </c:pt>
                <c:pt idx="8">
                  <c:v>95</c:v>
                </c:pt>
                <c:pt idx="9">
                  <c:v>95</c:v>
                </c:pt>
                <c:pt idx="10">
                  <c:v>88</c:v>
                </c:pt>
                <c:pt idx="11">
                  <c:v>85</c:v>
                </c:pt>
                <c:pt idx="12">
                  <c:v>72</c:v>
                </c:pt>
                <c:pt idx="13">
                  <c:v>68</c:v>
                </c:pt>
                <c:pt idx="14">
                  <c:v>66</c:v>
                </c:pt>
                <c:pt idx="15">
                  <c:v>62</c:v>
                </c:pt>
                <c:pt idx="16">
                  <c:v>60</c:v>
                </c:pt>
                <c:pt idx="17">
                  <c:v>60</c:v>
                </c:pt>
                <c:pt idx="18">
                  <c:v>70</c:v>
                </c:pt>
                <c:pt idx="19">
                  <c:v>80</c:v>
                </c:pt>
                <c:pt idx="20">
                  <c:v>87</c:v>
                </c:pt>
                <c:pt idx="21">
                  <c:v>89</c:v>
                </c:pt>
                <c:pt idx="22">
                  <c:v>89</c:v>
                </c:pt>
                <c:pt idx="23">
                  <c:v>89</c:v>
                </c:pt>
                <c:pt idx="24">
                  <c:v>87</c:v>
                </c:pt>
                <c:pt idx="25">
                  <c:v>83</c:v>
                </c:pt>
                <c:pt idx="26">
                  <c:v>88</c:v>
                </c:pt>
                <c:pt idx="27">
                  <c:v>96</c:v>
                </c:pt>
                <c:pt idx="28">
                  <c:v>97</c:v>
                </c:pt>
                <c:pt idx="29">
                  <c:v>90</c:v>
                </c:pt>
              </c:numCache>
            </c:numRef>
          </c:xVal>
          <c:yVal>
            <c:numRef>
              <c:f>'Исходные данные 4'!$B$2:$B$31</c:f>
              <c:numCache>
                <c:formatCode>General</c:formatCode>
                <c:ptCount val="30"/>
                <c:pt idx="0">
                  <c:v>335</c:v>
                </c:pt>
                <c:pt idx="1">
                  <c:v>336</c:v>
                </c:pt>
                <c:pt idx="2">
                  <c:v>388</c:v>
                </c:pt>
                <c:pt idx="3">
                  <c:v>420</c:v>
                </c:pt>
                <c:pt idx="4">
                  <c:v>450</c:v>
                </c:pt>
                <c:pt idx="5">
                  <c:v>450</c:v>
                </c:pt>
                <c:pt idx="6">
                  <c:v>500</c:v>
                </c:pt>
                <c:pt idx="7">
                  <c:v>520</c:v>
                </c:pt>
                <c:pt idx="8">
                  <c:v>550</c:v>
                </c:pt>
                <c:pt idx="9">
                  <c:v>600</c:v>
                </c:pt>
                <c:pt idx="10">
                  <c:v>605</c:v>
                </c:pt>
                <c:pt idx="11">
                  <c:v>620</c:v>
                </c:pt>
                <c:pt idx="12">
                  <c:v>630</c:v>
                </c:pt>
                <c:pt idx="13">
                  <c:v>655</c:v>
                </c:pt>
                <c:pt idx="14">
                  <c:v>690</c:v>
                </c:pt>
                <c:pt idx="15">
                  <c:v>690</c:v>
                </c:pt>
                <c:pt idx="16">
                  <c:v>710</c:v>
                </c:pt>
                <c:pt idx="17">
                  <c:v>720</c:v>
                </c:pt>
                <c:pt idx="18">
                  <c:v>745</c:v>
                </c:pt>
                <c:pt idx="19">
                  <c:v>760</c:v>
                </c:pt>
                <c:pt idx="20">
                  <c:v>780</c:v>
                </c:pt>
                <c:pt idx="21">
                  <c:v>840</c:v>
                </c:pt>
                <c:pt idx="22">
                  <c:v>845</c:v>
                </c:pt>
                <c:pt idx="23">
                  <c:v>850</c:v>
                </c:pt>
                <c:pt idx="24">
                  <c:v>860</c:v>
                </c:pt>
                <c:pt idx="25">
                  <c:v>890</c:v>
                </c:pt>
                <c:pt idx="26">
                  <c:v>940</c:v>
                </c:pt>
                <c:pt idx="27">
                  <c:v>960</c:v>
                </c:pt>
                <c:pt idx="28">
                  <c:v>980</c:v>
                </c:pt>
                <c:pt idx="29">
                  <c:v>990</c:v>
                </c:pt>
              </c:numCache>
            </c:numRef>
          </c:yVal>
          <c:smooth val="0"/>
        </c:ser>
        <c:ser>
          <c:idx val="1"/>
          <c:order val="1"/>
          <c:tx>
            <c:strRef>
              <c:f>"Предсказанное Прибыль, млн руб., Y"</c:f>
              <c:strCache>
                <c:ptCount val="1"/>
                <c:pt idx="0">
                  <c:v>Предсказанное Прибыль, млн руб., Y</c:v>
                </c:pt>
              </c:strCache>
            </c:strRef>
          </c:tx>
          <c:spPr>
            <a:ln w="19050" cap="rnd" cmpd="sng" algn="ctr">
              <a:noFill/>
              <a:prstDash val="solid"/>
              <a:round/>
            </a:ln>
          </c:spPr>
          <c:dLbls>
            <c:delete val="1"/>
          </c:dLbls>
          <c:xVal>
            <c:numRef>
              <c:f>'Исходные данные 4'!$G$2:$G$31</c:f>
              <c:numCache>
                <c:formatCode>General</c:formatCode>
                <c:ptCount val="30"/>
                <c:pt idx="0">
                  <c:v>96</c:v>
                </c:pt>
                <c:pt idx="1">
                  <c:v>97</c:v>
                </c:pt>
                <c:pt idx="2">
                  <c:v>96</c:v>
                </c:pt>
                <c:pt idx="3">
                  <c:v>93</c:v>
                </c:pt>
                <c:pt idx="4">
                  <c:v>93</c:v>
                </c:pt>
                <c:pt idx="5">
                  <c:v>94</c:v>
                </c:pt>
                <c:pt idx="6">
                  <c:v>95</c:v>
                </c:pt>
                <c:pt idx="7">
                  <c:v>95</c:v>
                </c:pt>
                <c:pt idx="8">
                  <c:v>95</c:v>
                </c:pt>
                <c:pt idx="9">
                  <c:v>95</c:v>
                </c:pt>
                <c:pt idx="10">
                  <c:v>88</c:v>
                </c:pt>
                <c:pt idx="11">
                  <c:v>85</c:v>
                </c:pt>
                <c:pt idx="12">
                  <c:v>72</c:v>
                </c:pt>
                <c:pt idx="13">
                  <c:v>68</c:v>
                </c:pt>
                <c:pt idx="14">
                  <c:v>66</c:v>
                </c:pt>
                <c:pt idx="15">
                  <c:v>62</c:v>
                </c:pt>
                <c:pt idx="16">
                  <c:v>60</c:v>
                </c:pt>
                <c:pt idx="17">
                  <c:v>60</c:v>
                </c:pt>
                <c:pt idx="18">
                  <c:v>70</c:v>
                </c:pt>
                <c:pt idx="19">
                  <c:v>80</c:v>
                </c:pt>
                <c:pt idx="20">
                  <c:v>87</c:v>
                </c:pt>
                <c:pt idx="21">
                  <c:v>89</c:v>
                </c:pt>
                <c:pt idx="22">
                  <c:v>89</c:v>
                </c:pt>
                <c:pt idx="23">
                  <c:v>89</c:v>
                </c:pt>
                <c:pt idx="24">
                  <c:v>87</c:v>
                </c:pt>
                <c:pt idx="25">
                  <c:v>83</c:v>
                </c:pt>
                <c:pt idx="26">
                  <c:v>88</c:v>
                </c:pt>
                <c:pt idx="27">
                  <c:v>96</c:v>
                </c:pt>
                <c:pt idx="28">
                  <c:v>97</c:v>
                </c:pt>
                <c:pt idx="29">
                  <c:v>90</c:v>
                </c:pt>
              </c:numCache>
            </c:numRef>
          </c:xVal>
          <c:yVal>
            <c:numRef>
              <c:f>'Анализ данных 4'!$B$29:$B$58</c:f>
              <c:numCache>
                <c:formatCode>General</c:formatCode>
                <c:ptCount val="30"/>
                <c:pt idx="0">
                  <c:v>364.703657807909</c:v>
                </c:pt>
                <c:pt idx="1">
                  <c:v>396.122569733059</c:v>
                </c:pt>
                <c:pt idx="2">
                  <c:v>400.265397058013</c:v>
                </c:pt>
                <c:pt idx="3">
                  <c:v>427.166392359891</c:v>
                </c:pt>
                <c:pt idx="4">
                  <c:v>455.191157856836</c:v>
                </c:pt>
                <c:pt idx="5">
                  <c:v>443.416360160482</c:v>
                </c:pt>
                <c:pt idx="6">
                  <c:v>484.360887318136</c:v>
                </c:pt>
                <c:pt idx="7">
                  <c:v>488.557296732775</c:v>
                </c:pt>
                <c:pt idx="8">
                  <c:v>496.182409844844</c:v>
                </c:pt>
                <c:pt idx="9">
                  <c:v>573.43271332439</c:v>
                </c:pt>
                <c:pt idx="10">
                  <c:v>656.668327502795</c:v>
                </c:pt>
                <c:pt idx="11">
                  <c:v>619.026301425129</c:v>
                </c:pt>
                <c:pt idx="12">
                  <c:v>632.362768583788</c:v>
                </c:pt>
                <c:pt idx="13">
                  <c:v>631.344239943469</c:v>
                </c:pt>
                <c:pt idx="14">
                  <c:v>670.039538045905</c:v>
                </c:pt>
                <c:pt idx="15">
                  <c:v>666.835780321214</c:v>
                </c:pt>
                <c:pt idx="16">
                  <c:v>690.623362897532</c:v>
                </c:pt>
                <c:pt idx="17">
                  <c:v>769.816632527404</c:v>
                </c:pt>
                <c:pt idx="18">
                  <c:v>761.965514204083</c:v>
                </c:pt>
                <c:pt idx="19">
                  <c:v>752.030061159388</c:v>
                </c:pt>
                <c:pt idx="20">
                  <c:v>777.157515128193</c:v>
                </c:pt>
                <c:pt idx="21">
                  <c:v>799.132687992746</c:v>
                </c:pt>
                <c:pt idx="22">
                  <c:v>844.599359600378</c:v>
                </c:pt>
                <c:pt idx="23">
                  <c:v>890.389945122066</c:v>
                </c:pt>
                <c:pt idx="24">
                  <c:v>880.946088555244</c:v>
                </c:pt>
                <c:pt idx="25">
                  <c:v>911.312631278827</c:v>
                </c:pt>
                <c:pt idx="26">
                  <c:v>914.011977391998</c:v>
                </c:pt>
                <c:pt idx="27">
                  <c:v>917.712634828699</c:v>
                </c:pt>
                <c:pt idx="28">
                  <c:v>983.432174246346</c:v>
                </c:pt>
                <c:pt idx="29">
                  <c:v>1010.19361704846</c:v>
                </c:pt>
              </c:numCache>
            </c:numRef>
          </c:yVal>
          <c:smooth val="0"/>
        </c:ser>
        <c:dLbls>
          <c:showLegendKey val="0"/>
          <c:showVal val="0"/>
          <c:showCatName val="0"/>
          <c:showSerName val="0"/>
          <c:showPercent val="0"/>
          <c:showBubbleSize val="0"/>
        </c:dLbls>
        <c:axId val="1150507055"/>
        <c:axId val="1233339711"/>
      </c:scatterChart>
      <c:valAx>
        <c:axId val="1150507055"/>
        <c:scaling>
          <c:orientation val="minMax"/>
        </c:scaling>
        <c:delete val="0"/>
        <c:axPos val="b"/>
        <c:title>
          <c:tx>
            <c:rich>
              <a:bodyPr rot="0" spcFirstLastPara="0" vertOverflow="ellipsis" vert="horz" wrap="square" anchor="ctr" anchorCtr="1"/>
              <a:lstStyle/>
              <a:p>
                <a:pPr>
                  <a:defRPr lang="ru-RU" sz="1000" b="1" i="0" u="none" strike="noStrike" kern="1200" baseline="0">
                    <a:solidFill>
                      <a:schemeClr val="tx1"/>
                    </a:solidFill>
                    <a:latin typeface="+mn-lt"/>
                    <a:ea typeface="+mn-ea"/>
                    <a:cs typeface="+mn-cs"/>
                  </a:defRPr>
                </a:pPr>
                <a:r>
                  <a:rPr lang="ru-RU"/>
                  <a:t>Уровень использования производственных мощностей, %, </a:t>
                </a:r>
                <a:r>
                  <a:rPr lang="en-US"/>
                  <a:t>X9</a:t>
                </a:r>
                <a:endParaRPr lang="en-US"/>
              </a:p>
            </c:rich>
          </c:tx>
          <c:layout/>
          <c:overlay val="0"/>
        </c:title>
        <c:numFmt formatCode="General" sourceLinked="1"/>
        <c:majorTickMark val="out"/>
        <c:minorTickMark val="none"/>
        <c:tickLblPos val="nextTo"/>
        <c:txPr>
          <a:bodyPr rot="-60000000" spcFirstLastPara="0" vertOverflow="ellipsis" vert="horz" wrap="square" anchor="ctr" anchorCtr="1"/>
          <a:lstStyle/>
          <a:p>
            <a:pPr>
              <a:defRPr lang="ru-RU" sz="1000" b="0" i="0" u="none" strike="noStrike" kern="1200" baseline="0">
                <a:solidFill>
                  <a:schemeClr val="tx1"/>
                </a:solidFill>
                <a:latin typeface="+mn-lt"/>
                <a:ea typeface="+mn-ea"/>
                <a:cs typeface="+mn-cs"/>
              </a:defRPr>
            </a:pPr>
          </a:p>
        </c:txPr>
        <c:crossAx val="1233339711"/>
        <c:crosses val="autoZero"/>
        <c:crossBetween val="midCat"/>
      </c:valAx>
      <c:valAx>
        <c:axId val="1233339711"/>
        <c:scaling>
          <c:orientation val="minMax"/>
        </c:scaling>
        <c:delete val="0"/>
        <c:axPos val="l"/>
        <c:title>
          <c:tx>
            <c:rich>
              <a:bodyPr rot="-5400000" spcFirstLastPara="0" vertOverflow="ellipsis" vert="horz" wrap="square" anchor="ctr" anchorCtr="1"/>
              <a:lstStyle/>
              <a:p>
                <a:pPr>
                  <a:defRPr lang="ru-RU" sz="1000" b="1" i="0" u="none" strike="noStrike" kern="1200" baseline="0">
                    <a:solidFill>
                      <a:schemeClr val="tx1"/>
                    </a:solidFill>
                    <a:latin typeface="+mn-lt"/>
                    <a:ea typeface="+mn-ea"/>
                    <a:cs typeface="+mn-cs"/>
                  </a:defRPr>
                </a:pPr>
                <a:r>
                  <a:rPr lang="ru-RU"/>
                  <a:t>Прибыль, млн руб., </a:t>
                </a:r>
                <a:r>
                  <a:rPr lang="en-US"/>
                  <a:t>Y</a:t>
                </a:r>
                <a:endParaRPr lang="en-US"/>
              </a:p>
            </c:rich>
          </c:tx>
          <c:layout/>
          <c:overlay val="0"/>
        </c:title>
        <c:numFmt formatCode="General" sourceLinked="1"/>
        <c:majorTickMark val="out"/>
        <c:minorTickMark val="none"/>
        <c:tickLblPos val="nextTo"/>
        <c:txPr>
          <a:bodyPr rot="-60000000" spcFirstLastPara="0" vertOverflow="ellipsis" vert="horz" wrap="square" anchor="ctr" anchorCtr="1"/>
          <a:lstStyle/>
          <a:p>
            <a:pPr>
              <a:defRPr lang="ru-RU" sz="1000" b="0" i="0" u="none" strike="noStrike" kern="1200" baseline="0">
                <a:solidFill>
                  <a:schemeClr val="tx1"/>
                </a:solidFill>
                <a:latin typeface="+mn-lt"/>
                <a:ea typeface="+mn-ea"/>
                <a:cs typeface="+mn-cs"/>
              </a:defRPr>
            </a:pPr>
          </a:p>
        </c:txPr>
        <c:crossAx val="1150507055"/>
        <c:crosses val="autoZero"/>
        <c:crossBetween val="midCat"/>
      </c:valAx>
    </c:plotArea>
    <c:legend>
      <c:legendPos val="r"/>
      <c:layout/>
      <c:overlay val="0"/>
      <c:txPr>
        <a:bodyPr rot="0" spcFirstLastPara="0" vertOverflow="ellipsis" vert="horz" wrap="square" anchor="ctr" anchorCtr="1"/>
        <a:lstStyle/>
        <a:p>
          <a:pPr>
            <a:defRPr lang="ru-RU" sz="1000" b="0" i="0" u="none" strike="noStrike" kern="1200" baseline="0">
              <a:solidFill>
                <a:schemeClr val="tx1"/>
              </a:solidFill>
              <a:latin typeface="+mn-lt"/>
              <a:ea typeface="+mn-ea"/>
              <a:cs typeface="+mn-cs"/>
            </a:defRPr>
          </a:pPr>
        </a:p>
      </c:txPr>
    </c:legend>
    <c:plotVisOnly val="1"/>
    <c:dispBlanksAs val="gap"/>
    <c:showDLblsOverMax val="0"/>
    <c:extLst>
      <c:ext uri="{0b15fc19-7d7d-44ad-8c2d-2c3a37ce22c3}">
        <chartProps xmlns="https://web.wps.cn/et/2018/main" chartId="{7581d944-84a3-4d9a-9d60-814996be45e7}"/>
      </c:ext>
    </c:extLst>
  </c:chart>
  <c:txPr>
    <a:bodyPr/>
    <a:lstStyle/>
    <a:p>
      <a:pPr>
        <a:defRPr lang="ru-RU"/>
      </a:pPr>
    </a:p>
  </c:txPr>
  <c:printSettings>
    <c:headerFooter/>
    <c:pageMargins b="0.75" l="0.7" r="0.7" t="0.75" header="0.3" footer="0.3"/>
    <c:pageSetup/>
  </c:printSettings>
</c:chartSpace>
</file>

<file path=xl/charts/chart39.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0" vertOverflow="ellipsis" vert="horz" wrap="square" anchor="ctr" anchorCtr="1"/>
          <a:lstStyle/>
          <a:p>
            <a:pPr>
              <a:defRPr lang="ru-RU" sz="1800" b="1" i="0" u="none" strike="noStrike" kern="1200" baseline="0">
                <a:solidFill>
                  <a:schemeClr val="tx1"/>
                </a:solidFill>
                <a:latin typeface="+mn-lt"/>
                <a:ea typeface="+mn-ea"/>
                <a:cs typeface="+mn-cs"/>
              </a:defRPr>
            </a:pPr>
            <a:r>
              <a:rPr lang="ru-RU"/>
              <a:t>График нормального распределения</a:t>
            </a:r>
            <a:endParaRPr lang="ru-RU"/>
          </a:p>
        </c:rich>
      </c:tx>
      <c:layout/>
      <c:overlay val="0"/>
    </c:title>
    <c:autoTitleDeleted val="0"/>
    <c:plotArea>
      <c:layout/>
      <c:scatterChart>
        <c:scatterStyle val="marker"/>
        <c:varyColors val="0"/>
        <c:ser>
          <c:idx val="0"/>
          <c:order val="0"/>
          <c:spPr>
            <a:ln w="19050" cap="rnd" cmpd="sng" algn="ctr">
              <a:noFill/>
              <a:prstDash val="solid"/>
              <a:round/>
            </a:ln>
          </c:spPr>
          <c:dLbls>
            <c:delete val="1"/>
          </c:dLbls>
          <c:xVal>
            <c:numRef>
              <c:f>'Анализ данных 4'!$F$29:$F$58</c:f>
              <c:numCache>
                <c:formatCode>General</c:formatCode>
                <c:ptCount val="30"/>
                <c:pt idx="0">
                  <c:v>1.66666666666667</c:v>
                </c:pt>
                <c:pt idx="1">
                  <c:v>5</c:v>
                </c:pt>
                <c:pt idx="2">
                  <c:v>8.33333333333333</c:v>
                </c:pt>
                <c:pt idx="3">
                  <c:v>11.6666666666667</c:v>
                </c:pt>
                <c:pt idx="4">
                  <c:v>15</c:v>
                </c:pt>
                <c:pt idx="5">
                  <c:v>18.3333333333333</c:v>
                </c:pt>
                <c:pt idx="6">
                  <c:v>21.6666666666667</c:v>
                </c:pt>
                <c:pt idx="7">
                  <c:v>25</c:v>
                </c:pt>
                <c:pt idx="8">
                  <c:v>28.3333333333333</c:v>
                </c:pt>
                <c:pt idx="9">
                  <c:v>31.6666666666667</c:v>
                </c:pt>
                <c:pt idx="10">
                  <c:v>35</c:v>
                </c:pt>
                <c:pt idx="11">
                  <c:v>38.3333333333333</c:v>
                </c:pt>
                <c:pt idx="12">
                  <c:v>41.6666666666667</c:v>
                </c:pt>
                <c:pt idx="13">
                  <c:v>45</c:v>
                </c:pt>
                <c:pt idx="14">
                  <c:v>48.3333333333333</c:v>
                </c:pt>
                <c:pt idx="15">
                  <c:v>51.6666666666667</c:v>
                </c:pt>
                <c:pt idx="16">
                  <c:v>55</c:v>
                </c:pt>
                <c:pt idx="17">
                  <c:v>58.3333333333333</c:v>
                </c:pt>
                <c:pt idx="18">
                  <c:v>61.6666666666667</c:v>
                </c:pt>
                <c:pt idx="19">
                  <c:v>65</c:v>
                </c:pt>
                <c:pt idx="20">
                  <c:v>68.3333333333333</c:v>
                </c:pt>
                <c:pt idx="21">
                  <c:v>71.6666666666667</c:v>
                </c:pt>
                <c:pt idx="22">
                  <c:v>75</c:v>
                </c:pt>
                <c:pt idx="23">
                  <c:v>78.3333333333333</c:v>
                </c:pt>
                <c:pt idx="24">
                  <c:v>81.6666666666667</c:v>
                </c:pt>
                <c:pt idx="25">
                  <c:v>85</c:v>
                </c:pt>
                <c:pt idx="26">
                  <c:v>88.3333333333333</c:v>
                </c:pt>
                <c:pt idx="27">
                  <c:v>91.6666666666667</c:v>
                </c:pt>
                <c:pt idx="28">
                  <c:v>95</c:v>
                </c:pt>
                <c:pt idx="29">
                  <c:v>98.3333333333333</c:v>
                </c:pt>
              </c:numCache>
            </c:numRef>
          </c:xVal>
          <c:yVal>
            <c:numRef>
              <c:f>'Анализ данных 4'!$G$29:$G$58</c:f>
              <c:numCache>
                <c:formatCode>General</c:formatCode>
                <c:ptCount val="30"/>
                <c:pt idx="0">
                  <c:v>335</c:v>
                </c:pt>
                <c:pt idx="1">
                  <c:v>336</c:v>
                </c:pt>
                <c:pt idx="2">
                  <c:v>388</c:v>
                </c:pt>
                <c:pt idx="3">
                  <c:v>420</c:v>
                </c:pt>
                <c:pt idx="4">
                  <c:v>450</c:v>
                </c:pt>
                <c:pt idx="5">
                  <c:v>450</c:v>
                </c:pt>
                <c:pt idx="6">
                  <c:v>500</c:v>
                </c:pt>
                <c:pt idx="7">
                  <c:v>520</c:v>
                </c:pt>
                <c:pt idx="8">
                  <c:v>550</c:v>
                </c:pt>
                <c:pt idx="9">
                  <c:v>600</c:v>
                </c:pt>
                <c:pt idx="10">
                  <c:v>605</c:v>
                </c:pt>
                <c:pt idx="11">
                  <c:v>620</c:v>
                </c:pt>
                <c:pt idx="12">
                  <c:v>630</c:v>
                </c:pt>
                <c:pt idx="13">
                  <c:v>655</c:v>
                </c:pt>
                <c:pt idx="14">
                  <c:v>690</c:v>
                </c:pt>
                <c:pt idx="15">
                  <c:v>690</c:v>
                </c:pt>
                <c:pt idx="16">
                  <c:v>710</c:v>
                </c:pt>
                <c:pt idx="17">
                  <c:v>720</c:v>
                </c:pt>
                <c:pt idx="18">
                  <c:v>745</c:v>
                </c:pt>
                <c:pt idx="19">
                  <c:v>760</c:v>
                </c:pt>
                <c:pt idx="20">
                  <c:v>780</c:v>
                </c:pt>
                <c:pt idx="21">
                  <c:v>840</c:v>
                </c:pt>
                <c:pt idx="22">
                  <c:v>845</c:v>
                </c:pt>
                <c:pt idx="23">
                  <c:v>850</c:v>
                </c:pt>
                <c:pt idx="24">
                  <c:v>860</c:v>
                </c:pt>
                <c:pt idx="25">
                  <c:v>890</c:v>
                </c:pt>
                <c:pt idx="26">
                  <c:v>940</c:v>
                </c:pt>
                <c:pt idx="27">
                  <c:v>960</c:v>
                </c:pt>
                <c:pt idx="28">
                  <c:v>980</c:v>
                </c:pt>
                <c:pt idx="29">
                  <c:v>990</c:v>
                </c:pt>
              </c:numCache>
            </c:numRef>
          </c:yVal>
          <c:smooth val="0"/>
        </c:ser>
        <c:dLbls>
          <c:showLegendKey val="0"/>
          <c:showVal val="0"/>
          <c:showCatName val="0"/>
          <c:showSerName val="0"/>
          <c:showPercent val="0"/>
          <c:showBubbleSize val="0"/>
        </c:dLbls>
        <c:axId val="1150508655"/>
        <c:axId val="1233340543"/>
      </c:scatterChart>
      <c:valAx>
        <c:axId val="1150508655"/>
        <c:scaling>
          <c:orientation val="minMax"/>
        </c:scaling>
        <c:delete val="0"/>
        <c:axPos val="b"/>
        <c:title>
          <c:tx>
            <c:rich>
              <a:bodyPr rot="0" spcFirstLastPara="0" vertOverflow="ellipsis" vert="horz" wrap="square" anchor="ctr" anchorCtr="1"/>
              <a:lstStyle/>
              <a:p>
                <a:pPr>
                  <a:defRPr lang="ru-RU" sz="1000" b="1" i="0" u="none" strike="noStrike" kern="1200" baseline="0">
                    <a:solidFill>
                      <a:schemeClr val="tx1"/>
                    </a:solidFill>
                    <a:latin typeface="+mn-lt"/>
                    <a:ea typeface="+mn-ea"/>
                    <a:cs typeface="+mn-cs"/>
                  </a:defRPr>
                </a:pPr>
                <a:r>
                  <a:rPr lang="ru-RU"/>
                  <a:t>Персентиль выборки</a:t>
                </a:r>
                <a:endParaRPr lang="ru-RU"/>
              </a:p>
            </c:rich>
          </c:tx>
          <c:layout/>
          <c:overlay val="0"/>
        </c:title>
        <c:numFmt formatCode="General" sourceLinked="1"/>
        <c:majorTickMark val="out"/>
        <c:minorTickMark val="none"/>
        <c:tickLblPos val="nextTo"/>
        <c:txPr>
          <a:bodyPr rot="-60000000" spcFirstLastPara="0" vertOverflow="ellipsis" vert="horz" wrap="square" anchor="ctr" anchorCtr="1"/>
          <a:lstStyle/>
          <a:p>
            <a:pPr>
              <a:defRPr lang="ru-RU" sz="1000" b="0" i="0" u="none" strike="noStrike" kern="1200" baseline="0">
                <a:solidFill>
                  <a:schemeClr val="tx1"/>
                </a:solidFill>
                <a:latin typeface="+mn-lt"/>
                <a:ea typeface="+mn-ea"/>
                <a:cs typeface="+mn-cs"/>
              </a:defRPr>
            </a:pPr>
          </a:p>
        </c:txPr>
        <c:crossAx val="1233340543"/>
        <c:crosses val="autoZero"/>
        <c:crossBetween val="midCat"/>
      </c:valAx>
      <c:valAx>
        <c:axId val="1233340543"/>
        <c:scaling>
          <c:orientation val="minMax"/>
        </c:scaling>
        <c:delete val="0"/>
        <c:axPos val="l"/>
        <c:title>
          <c:tx>
            <c:rich>
              <a:bodyPr rot="-5400000" spcFirstLastPara="0" vertOverflow="ellipsis" vert="horz" wrap="square" anchor="ctr" anchorCtr="1"/>
              <a:lstStyle/>
              <a:p>
                <a:pPr>
                  <a:defRPr lang="ru-RU" sz="1000" b="1" i="0" u="none" strike="noStrike" kern="1200" baseline="0">
                    <a:solidFill>
                      <a:schemeClr val="tx1"/>
                    </a:solidFill>
                    <a:latin typeface="+mn-lt"/>
                    <a:ea typeface="+mn-ea"/>
                    <a:cs typeface="+mn-cs"/>
                  </a:defRPr>
                </a:pPr>
                <a:r>
                  <a:rPr lang="ru-RU"/>
                  <a:t>Прибыль, млн руб., </a:t>
                </a:r>
                <a:r>
                  <a:rPr lang="en-US"/>
                  <a:t>Y</a:t>
                </a:r>
                <a:endParaRPr lang="en-US"/>
              </a:p>
            </c:rich>
          </c:tx>
          <c:layout/>
          <c:overlay val="0"/>
        </c:title>
        <c:numFmt formatCode="General" sourceLinked="1"/>
        <c:majorTickMark val="out"/>
        <c:minorTickMark val="none"/>
        <c:tickLblPos val="nextTo"/>
        <c:txPr>
          <a:bodyPr rot="-60000000" spcFirstLastPara="0" vertOverflow="ellipsis" vert="horz" wrap="square" anchor="ctr" anchorCtr="1"/>
          <a:lstStyle/>
          <a:p>
            <a:pPr>
              <a:defRPr lang="ru-RU" sz="1000" b="0" i="0" u="none" strike="noStrike" kern="1200" baseline="0">
                <a:solidFill>
                  <a:schemeClr val="tx1"/>
                </a:solidFill>
                <a:latin typeface="+mn-lt"/>
                <a:ea typeface="+mn-ea"/>
                <a:cs typeface="+mn-cs"/>
              </a:defRPr>
            </a:pPr>
          </a:p>
        </c:txPr>
        <c:crossAx val="1150508655"/>
        <c:crosses val="autoZero"/>
        <c:crossBetween val="midCat"/>
      </c:valAx>
    </c:plotArea>
    <c:plotVisOnly val="1"/>
    <c:dispBlanksAs val="gap"/>
    <c:showDLblsOverMax val="0"/>
    <c:extLst>
      <c:ext uri="{0b15fc19-7d7d-44ad-8c2d-2c3a37ce22c3}">
        <chartProps xmlns="https://web.wps.cn/et/2018/main" chartId="{27718b50-8720-43f1-beb9-c8c65b10d8c3}"/>
      </c:ext>
    </c:extLst>
  </c:chart>
  <c:txPr>
    <a:bodyPr/>
    <a:lstStyle/>
    <a:p>
      <a:pPr>
        <a:defRPr lang="ru-RU"/>
      </a:pPr>
    </a:p>
  </c:txPr>
  <c:printSettings>
    <c:headerFooter/>
    <c:pageMargins b="0.75" l="0.7" r="0.7" t="0.75" header="0.3" footer="0.3"/>
    <c:pageSetup/>
  </c:printSettings>
</c:chartSpace>
</file>

<file path=xl/charts/chart40.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0" vertOverflow="ellipsis" vert="horz" wrap="square" anchor="ctr" anchorCtr="1"/>
          <a:lstStyle/>
          <a:p>
            <a:pPr>
              <a:defRPr lang="ru-RU" sz="1800" b="1" i="0" u="none" strike="noStrike" kern="1200" baseline="0">
                <a:solidFill>
                  <a:schemeClr val="tx1"/>
                </a:solidFill>
                <a:latin typeface="+mn-lt"/>
                <a:ea typeface="+mn-ea"/>
                <a:cs typeface="+mn-cs"/>
              </a:defRPr>
            </a:pPr>
            <a:r>
              <a:rPr lang="ru-RU"/>
              <a:t>Среднесписочная численность работников, чел., </a:t>
            </a:r>
            <a:r>
              <a:rPr lang="en-US"/>
              <a:t>X2 </a:t>
            </a:r>
            <a:r>
              <a:rPr lang="ru-RU"/>
              <a:t>График остатков</a:t>
            </a:r>
            <a:endParaRPr lang="ru-RU"/>
          </a:p>
        </c:rich>
      </c:tx>
      <c:layout/>
      <c:overlay val="0"/>
    </c:title>
    <c:autoTitleDeleted val="0"/>
    <c:plotArea>
      <c:layout/>
      <c:scatterChart>
        <c:scatterStyle val="marker"/>
        <c:varyColors val="0"/>
        <c:ser>
          <c:idx val="0"/>
          <c:order val="0"/>
          <c:spPr>
            <a:ln w="19050" cap="rnd" cmpd="sng" algn="ctr">
              <a:noFill/>
              <a:prstDash val="solid"/>
              <a:round/>
            </a:ln>
          </c:spPr>
          <c:dLbls>
            <c:delete val="1"/>
          </c:dLbls>
          <c:xVal>
            <c:numRef>
              <c:f>'Исходные данные 5'!$C$2:$C$31</c:f>
              <c:numCache>
                <c:formatCode>General</c:formatCode>
                <c:ptCount val="30"/>
                <c:pt idx="0">
                  <c:v>500</c:v>
                </c:pt>
                <c:pt idx="1">
                  <c:v>510</c:v>
                </c:pt>
                <c:pt idx="2">
                  <c:v>509</c:v>
                </c:pt>
                <c:pt idx="3">
                  <c:v>515</c:v>
                </c:pt>
                <c:pt idx="4">
                  <c:v>520</c:v>
                </c:pt>
                <c:pt idx="5">
                  <c:v>519</c:v>
                </c:pt>
                <c:pt idx="6">
                  <c:v>525</c:v>
                </c:pt>
                <c:pt idx="7">
                  <c:v>526</c:v>
                </c:pt>
                <c:pt idx="8">
                  <c:v>530</c:v>
                </c:pt>
                <c:pt idx="9">
                  <c:v>550</c:v>
                </c:pt>
                <c:pt idx="10">
                  <c:v>570</c:v>
                </c:pt>
                <c:pt idx="11">
                  <c:v>560</c:v>
                </c:pt>
                <c:pt idx="12">
                  <c:v>555</c:v>
                </c:pt>
                <c:pt idx="13">
                  <c:v>555</c:v>
                </c:pt>
                <c:pt idx="14">
                  <c:v>560</c:v>
                </c:pt>
                <c:pt idx="15">
                  <c:v>560</c:v>
                </c:pt>
                <c:pt idx="16">
                  <c:v>562</c:v>
                </c:pt>
                <c:pt idx="17">
                  <c:v>580</c:v>
                </c:pt>
                <c:pt idx="18">
                  <c:v>581</c:v>
                </c:pt>
                <c:pt idx="19">
                  <c:v>582</c:v>
                </c:pt>
                <c:pt idx="20">
                  <c:v>585</c:v>
                </c:pt>
                <c:pt idx="21">
                  <c:v>590</c:v>
                </c:pt>
                <c:pt idx="22">
                  <c:v>601</c:v>
                </c:pt>
                <c:pt idx="23">
                  <c:v>612</c:v>
                </c:pt>
                <c:pt idx="24">
                  <c:v>610</c:v>
                </c:pt>
                <c:pt idx="25">
                  <c:v>611</c:v>
                </c:pt>
                <c:pt idx="26">
                  <c:v>615</c:v>
                </c:pt>
                <c:pt idx="27">
                  <c:v>620</c:v>
                </c:pt>
                <c:pt idx="28">
                  <c:v>621</c:v>
                </c:pt>
                <c:pt idx="29">
                  <c:v>622</c:v>
                </c:pt>
              </c:numCache>
            </c:numRef>
          </c:xVal>
          <c:yVal>
            <c:numRef>
              <c:f>'Анализ данных 5'!$C$28:$C$57</c:f>
              <c:numCache>
                <c:formatCode>General</c:formatCode>
                <c:ptCount val="30"/>
                <c:pt idx="0">
                  <c:v>-20.581998207338</c:v>
                </c:pt>
                <c:pt idx="1">
                  <c:v>-62.2022945939029</c:v>
                </c:pt>
                <c:pt idx="2">
                  <c:v>-7.96006453256189</c:v>
                </c:pt>
                <c:pt idx="3">
                  <c:v>-7.21713054232976</c:v>
                </c:pt>
                <c:pt idx="4">
                  <c:v>-6.51299857510389</c:v>
                </c:pt>
                <c:pt idx="5">
                  <c:v>2.56706956580018</c:v>
                </c:pt>
                <c:pt idx="6">
                  <c:v>20.1360443682884</c:v>
                </c:pt>
                <c:pt idx="7">
                  <c:v>37.6865360612891</c:v>
                </c:pt>
                <c:pt idx="8">
                  <c:v>54.7968845789878</c:v>
                </c:pt>
                <c:pt idx="9">
                  <c:v>24.561638618103</c:v>
                </c:pt>
                <c:pt idx="10">
                  <c:v>-74.0935519873809</c:v>
                </c:pt>
                <c:pt idx="11">
                  <c:v>-10.2473125403019</c:v>
                </c:pt>
                <c:pt idx="12">
                  <c:v>0.0498997552946321</c:v>
                </c:pt>
                <c:pt idx="13">
                  <c:v>23.9807416930186</c:v>
                </c:pt>
                <c:pt idx="14">
                  <c:v>20.5391213814839</c:v>
                </c:pt>
                <c:pt idx="15">
                  <c:v>18.0333772403478</c:v>
                </c:pt>
                <c:pt idx="16">
                  <c:v>35.7009712080463</c:v>
                </c:pt>
                <c:pt idx="17">
                  <c:v>-40.6299420263649</c:v>
                </c:pt>
                <c:pt idx="18">
                  <c:v>-19.5962908744335</c:v>
                </c:pt>
                <c:pt idx="19">
                  <c:v>1.5175180785684</c:v>
                </c:pt>
                <c:pt idx="20">
                  <c:v>5.34416409558219</c:v>
                </c:pt>
                <c:pt idx="21">
                  <c:v>40.513422993997</c:v>
                </c:pt>
                <c:pt idx="22">
                  <c:v>-10.5411258691661</c:v>
                </c:pt>
                <c:pt idx="23">
                  <c:v>-62.0313387924975</c:v>
                </c:pt>
                <c:pt idx="24">
                  <c:v>-42.6262082426026</c:v>
                </c:pt>
                <c:pt idx="25">
                  <c:v>-31.4949709680942</c:v>
                </c:pt>
                <c:pt idx="26">
                  <c:v>11.7908853016937</c:v>
                </c:pt>
                <c:pt idx="27">
                  <c:v>22.8794290234617</c:v>
                </c:pt>
                <c:pt idx="28">
                  <c:v>39.417830846847</c:v>
                </c:pt>
                <c:pt idx="29">
                  <c:v>36.2196929412751</c:v>
                </c:pt>
              </c:numCache>
            </c:numRef>
          </c:yVal>
          <c:smooth val="0"/>
        </c:ser>
        <c:dLbls>
          <c:showLegendKey val="0"/>
          <c:showVal val="0"/>
          <c:showCatName val="0"/>
          <c:showSerName val="0"/>
          <c:showPercent val="0"/>
          <c:showBubbleSize val="0"/>
        </c:dLbls>
        <c:axId val="1302364735"/>
        <c:axId val="1235777599"/>
      </c:scatterChart>
      <c:valAx>
        <c:axId val="1302364735"/>
        <c:scaling>
          <c:orientation val="minMax"/>
        </c:scaling>
        <c:delete val="0"/>
        <c:axPos val="b"/>
        <c:title>
          <c:tx>
            <c:rich>
              <a:bodyPr rot="0" spcFirstLastPara="0" vertOverflow="ellipsis" vert="horz" wrap="square" anchor="ctr" anchorCtr="1"/>
              <a:lstStyle/>
              <a:p>
                <a:pPr>
                  <a:defRPr lang="ru-RU" sz="1000" b="1" i="0" u="none" strike="noStrike" kern="1200" baseline="0">
                    <a:solidFill>
                      <a:schemeClr val="tx1"/>
                    </a:solidFill>
                    <a:latin typeface="+mn-lt"/>
                    <a:ea typeface="+mn-ea"/>
                    <a:cs typeface="+mn-cs"/>
                  </a:defRPr>
                </a:pPr>
                <a:r>
                  <a:rPr lang="ru-RU"/>
                  <a:t>Среднесписочная численность работников, чел., </a:t>
                </a:r>
                <a:r>
                  <a:rPr lang="en-US"/>
                  <a:t>X2</a:t>
                </a:r>
                <a:endParaRPr lang="en-US"/>
              </a:p>
            </c:rich>
          </c:tx>
          <c:layout/>
          <c:overlay val="0"/>
        </c:title>
        <c:numFmt formatCode="General" sourceLinked="1"/>
        <c:majorTickMark val="out"/>
        <c:minorTickMark val="none"/>
        <c:tickLblPos val="nextTo"/>
        <c:txPr>
          <a:bodyPr rot="-60000000" spcFirstLastPara="0" vertOverflow="ellipsis" vert="horz" wrap="square" anchor="ctr" anchorCtr="1"/>
          <a:lstStyle/>
          <a:p>
            <a:pPr>
              <a:defRPr lang="ru-RU" sz="1000" b="0" i="0" u="none" strike="noStrike" kern="1200" baseline="0">
                <a:solidFill>
                  <a:schemeClr val="tx1"/>
                </a:solidFill>
                <a:latin typeface="+mn-lt"/>
                <a:ea typeface="+mn-ea"/>
                <a:cs typeface="+mn-cs"/>
              </a:defRPr>
            </a:pPr>
          </a:p>
        </c:txPr>
        <c:crossAx val="1235777599"/>
        <c:crosses val="autoZero"/>
        <c:crossBetween val="midCat"/>
      </c:valAx>
      <c:valAx>
        <c:axId val="1235777599"/>
        <c:scaling>
          <c:orientation val="minMax"/>
        </c:scaling>
        <c:delete val="0"/>
        <c:axPos val="l"/>
        <c:title>
          <c:tx>
            <c:rich>
              <a:bodyPr rot="-5400000" spcFirstLastPara="0" vertOverflow="ellipsis" vert="horz" wrap="square" anchor="ctr" anchorCtr="1"/>
              <a:lstStyle/>
              <a:p>
                <a:pPr>
                  <a:defRPr lang="ru-RU" sz="1000" b="1" i="0" u="none" strike="noStrike" kern="1200" baseline="0">
                    <a:solidFill>
                      <a:schemeClr val="tx1"/>
                    </a:solidFill>
                    <a:latin typeface="+mn-lt"/>
                    <a:ea typeface="+mn-ea"/>
                    <a:cs typeface="+mn-cs"/>
                  </a:defRPr>
                </a:pPr>
                <a:r>
                  <a:rPr lang="ru-RU"/>
                  <a:t>Остатки</a:t>
                </a:r>
                <a:endParaRPr lang="ru-RU"/>
              </a:p>
            </c:rich>
          </c:tx>
          <c:layout/>
          <c:overlay val="0"/>
        </c:title>
        <c:numFmt formatCode="General" sourceLinked="1"/>
        <c:majorTickMark val="out"/>
        <c:minorTickMark val="none"/>
        <c:tickLblPos val="nextTo"/>
        <c:txPr>
          <a:bodyPr rot="-60000000" spcFirstLastPara="0" vertOverflow="ellipsis" vert="horz" wrap="square" anchor="ctr" anchorCtr="1"/>
          <a:lstStyle/>
          <a:p>
            <a:pPr>
              <a:defRPr lang="ru-RU" sz="1000" b="0" i="0" u="none" strike="noStrike" kern="1200" baseline="0">
                <a:solidFill>
                  <a:schemeClr val="tx1"/>
                </a:solidFill>
                <a:latin typeface="+mn-lt"/>
                <a:ea typeface="+mn-ea"/>
                <a:cs typeface="+mn-cs"/>
              </a:defRPr>
            </a:pPr>
          </a:p>
        </c:txPr>
        <c:crossAx val="1302364735"/>
        <c:crosses val="autoZero"/>
        <c:crossBetween val="midCat"/>
      </c:valAx>
    </c:plotArea>
    <c:plotVisOnly val="1"/>
    <c:dispBlanksAs val="gap"/>
    <c:showDLblsOverMax val="0"/>
    <c:extLst>
      <c:ext uri="{0b15fc19-7d7d-44ad-8c2d-2c3a37ce22c3}">
        <chartProps xmlns="https://web.wps.cn/et/2018/main" chartId="{8bc122c8-5b2a-4468-9b5e-4cf48256f028}"/>
      </c:ext>
    </c:extLst>
  </c:chart>
  <c:txPr>
    <a:bodyPr/>
    <a:lstStyle/>
    <a:p>
      <a:pPr>
        <a:defRPr lang="ru-RU"/>
      </a:pPr>
    </a:p>
  </c:txPr>
  <c:printSettings>
    <c:headerFooter/>
    <c:pageMargins b="0.75" l="0.7" r="0.7" t="0.75" header="0.3" footer="0.3"/>
    <c:pageSetup/>
  </c:printSettings>
</c:chartSpace>
</file>

<file path=xl/charts/chart41.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0" vertOverflow="ellipsis" vert="horz" wrap="square" anchor="ctr" anchorCtr="1"/>
          <a:lstStyle/>
          <a:p>
            <a:pPr>
              <a:defRPr lang="ru-RU" sz="1800" b="1" i="0" u="none" strike="noStrike" kern="1200" baseline="0">
                <a:solidFill>
                  <a:schemeClr val="tx1"/>
                </a:solidFill>
                <a:latin typeface="+mn-lt"/>
                <a:ea typeface="+mn-ea"/>
                <a:cs typeface="+mn-cs"/>
              </a:defRPr>
            </a:pPr>
            <a:r>
              <a:rPr lang="ru-RU"/>
              <a:t>Стоимость основных производственных фондов, млн руб., </a:t>
            </a:r>
            <a:r>
              <a:rPr lang="en-US"/>
              <a:t>X3 </a:t>
            </a:r>
            <a:r>
              <a:rPr lang="ru-RU"/>
              <a:t>График остатков</a:t>
            </a:r>
            <a:endParaRPr lang="ru-RU"/>
          </a:p>
        </c:rich>
      </c:tx>
      <c:layout/>
      <c:overlay val="0"/>
    </c:title>
    <c:autoTitleDeleted val="0"/>
    <c:plotArea>
      <c:layout/>
      <c:scatterChart>
        <c:scatterStyle val="marker"/>
        <c:varyColors val="0"/>
        <c:ser>
          <c:idx val="0"/>
          <c:order val="0"/>
          <c:spPr>
            <a:ln w="19050" cap="rnd" cmpd="sng" algn="ctr">
              <a:noFill/>
              <a:prstDash val="solid"/>
              <a:round/>
            </a:ln>
          </c:spPr>
          <c:dLbls>
            <c:delete val="1"/>
          </c:dLbls>
          <c:xVal>
            <c:numRef>
              <c:f>'Исходные данные 5'!$D$2:$D$31</c:f>
              <c:numCache>
                <c:formatCode>General</c:formatCode>
                <c:ptCount val="30"/>
                <c:pt idx="0">
                  <c:v>1340</c:v>
                </c:pt>
                <c:pt idx="1">
                  <c:v>1560</c:v>
                </c:pt>
                <c:pt idx="2">
                  <c:v>1590</c:v>
                </c:pt>
                <c:pt idx="3">
                  <c:v>1680</c:v>
                </c:pt>
                <c:pt idx="4">
                  <c:v>1450</c:v>
                </c:pt>
                <c:pt idx="5">
                  <c:v>1600</c:v>
                </c:pt>
                <c:pt idx="6">
                  <c:v>1200</c:v>
                </c:pt>
                <c:pt idx="7">
                  <c:v>1280</c:v>
                </c:pt>
                <c:pt idx="8">
                  <c:v>1560</c:v>
                </c:pt>
                <c:pt idx="9">
                  <c:v>1680</c:v>
                </c:pt>
                <c:pt idx="10">
                  <c:v>1780</c:v>
                </c:pt>
                <c:pt idx="11">
                  <c:v>1890</c:v>
                </c:pt>
                <c:pt idx="12">
                  <c:v>1580</c:v>
                </c:pt>
                <c:pt idx="13">
                  <c:v>1760</c:v>
                </c:pt>
                <c:pt idx="14">
                  <c:v>1340</c:v>
                </c:pt>
                <c:pt idx="15">
                  <c:v>1670</c:v>
                </c:pt>
                <c:pt idx="16">
                  <c:v>1350</c:v>
                </c:pt>
                <c:pt idx="17">
                  <c:v>1240</c:v>
                </c:pt>
                <c:pt idx="18">
                  <c:v>1450</c:v>
                </c:pt>
                <c:pt idx="19">
                  <c:v>1670</c:v>
                </c:pt>
                <c:pt idx="20">
                  <c:v>1280</c:v>
                </c:pt>
                <c:pt idx="21">
                  <c:v>1340</c:v>
                </c:pt>
                <c:pt idx="22">
                  <c:v>1450</c:v>
                </c:pt>
                <c:pt idx="23">
                  <c:v>1450</c:v>
                </c:pt>
                <c:pt idx="24">
                  <c:v>1670</c:v>
                </c:pt>
                <c:pt idx="25">
                  <c:v>1330</c:v>
                </c:pt>
                <c:pt idx="26">
                  <c:v>1560</c:v>
                </c:pt>
                <c:pt idx="27">
                  <c:v>1760</c:v>
                </c:pt>
                <c:pt idx="28">
                  <c:v>1650</c:v>
                </c:pt>
                <c:pt idx="29">
                  <c:v>1890</c:v>
                </c:pt>
              </c:numCache>
            </c:numRef>
          </c:xVal>
          <c:yVal>
            <c:numRef>
              <c:f>'Анализ данных 5'!$C$28:$C$57</c:f>
              <c:numCache>
                <c:formatCode>General</c:formatCode>
                <c:ptCount val="30"/>
                <c:pt idx="0">
                  <c:v>-20.581998207338</c:v>
                </c:pt>
                <c:pt idx="1">
                  <c:v>-62.2022945939029</c:v>
                </c:pt>
                <c:pt idx="2">
                  <c:v>-7.96006453256189</c:v>
                </c:pt>
                <c:pt idx="3">
                  <c:v>-7.21713054232976</c:v>
                </c:pt>
                <c:pt idx="4">
                  <c:v>-6.51299857510389</c:v>
                </c:pt>
                <c:pt idx="5">
                  <c:v>2.56706956580018</c:v>
                </c:pt>
                <c:pt idx="6">
                  <c:v>20.1360443682884</c:v>
                </c:pt>
                <c:pt idx="7">
                  <c:v>37.6865360612891</c:v>
                </c:pt>
                <c:pt idx="8">
                  <c:v>54.7968845789878</c:v>
                </c:pt>
                <c:pt idx="9">
                  <c:v>24.561638618103</c:v>
                </c:pt>
                <c:pt idx="10">
                  <c:v>-74.0935519873809</c:v>
                </c:pt>
                <c:pt idx="11">
                  <c:v>-10.2473125403019</c:v>
                </c:pt>
                <c:pt idx="12">
                  <c:v>0.0498997552946321</c:v>
                </c:pt>
                <c:pt idx="13">
                  <c:v>23.9807416930186</c:v>
                </c:pt>
                <c:pt idx="14">
                  <c:v>20.5391213814839</c:v>
                </c:pt>
                <c:pt idx="15">
                  <c:v>18.0333772403478</c:v>
                </c:pt>
                <c:pt idx="16">
                  <c:v>35.7009712080463</c:v>
                </c:pt>
                <c:pt idx="17">
                  <c:v>-40.6299420263649</c:v>
                </c:pt>
                <c:pt idx="18">
                  <c:v>-19.5962908744335</c:v>
                </c:pt>
                <c:pt idx="19">
                  <c:v>1.5175180785684</c:v>
                </c:pt>
                <c:pt idx="20">
                  <c:v>5.34416409558219</c:v>
                </c:pt>
                <c:pt idx="21">
                  <c:v>40.513422993997</c:v>
                </c:pt>
                <c:pt idx="22">
                  <c:v>-10.5411258691661</c:v>
                </c:pt>
                <c:pt idx="23">
                  <c:v>-62.0313387924975</c:v>
                </c:pt>
                <c:pt idx="24">
                  <c:v>-42.6262082426026</c:v>
                </c:pt>
                <c:pt idx="25">
                  <c:v>-31.4949709680942</c:v>
                </c:pt>
                <c:pt idx="26">
                  <c:v>11.7908853016937</c:v>
                </c:pt>
                <c:pt idx="27">
                  <c:v>22.8794290234617</c:v>
                </c:pt>
                <c:pt idx="28">
                  <c:v>39.417830846847</c:v>
                </c:pt>
                <c:pt idx="29">
                  <c:v>36.2196929412751</c:v>
                </c:pt>
              </c:numCache>
            </c:numRef>
          </c:yVal>
          <c:smooth val="0"/>
        </c:ser>
        <c:dLbls>
          <c:showLegendKey val="0"/>
          <c:showVal val="0"/>
          <c:showCatName val="0"/>
          <c:showSerName val="0"/>
          <c:showPercent val="0"/>
          <c:showBubbleSize val="0"/>
        </c:dLbls>
        <c:axId val="1302364735"/>
        <c:axId val="1235768031"/>
      </c:scatterChart>
      <c:valAx>
        <c:axId val="1302364735"/>
        <c:scaling>
          <c:orientation val="minMax"/>
        </c:scaling>
        <c:delete val="0"/>
        <c:axPos val="b"/>
        <c:title>
          <c:tx>
            <c:rich>
              <a:bodyPr rot="0" spcFirstLastPara="0" vertOverflow="ellipsis" vert="horz" wrap="square" anchor="ctr" anchorCtr="1"/>
              <a:lstStyle/>
              <a:p>
                <a:pPr>
                  <a:defRPr lang="ru-RU" sz="1000" b="1" i="0" u="none" strike="noStrike" kern="1200" baseline="0">
                    <a:solidFill>
                      <a:schemeClr val="tx1"/>
                    </a:solidFill>
                    <a:latin typeface="+mn-lt"/>
                    <a:ea typeface="+mn-ea"/>
                    <a:cs typeface="+mn-cs"/>
                  </a:defRPr>
                </a:pPr>
                <a:r>
                  <a:rPr lang="ru-RU"/>
                  <a:t>Стоимость основных производственных фондов, млн руб., </a:t>
                </a:r>
                <a:r>
                  <a:rPr lang="en-US"/>
                  <a:t>X3</a:t>
                </a:r>
                <a:endParaRPr lang="en-US"/>
              </a:p>
            </c:rich>
          </c:tx>
          <c:layout/>
          <c:overlay val="0"/>
        </c:title>
        <c:numFmt formatCode="General" sourceLinked="1"/>
        <c:majorTickMark val="out"/>
        <c:minorTickMark val="none"/>
        <c:tickLblPos val="nextTo"/>
        <c:txPr>
          <a:bodyPr rot="-60000000" spcFirstLastPara="0" vertOverflow="ellipsis" vert="horz" wrap="square" anchor="ctr" anchorCtr="1"/>
          <a:lstStyle/>
          <a:p>
            <a:pPr>
              <a:defRPr lang="ru-RU" sz="1000" b="0" i="0" u="none" strike="noStrike" kern="1200" baseline="0">
                <a:solidFill>
                  <a:schemeClr val="tx1"/>
                </a:solidFill>
                <a:latin typeface="+mn-lt"/>
                <a:ea typeface="+mn-ea"/>
                <a:cs typeface="+mn-cs"/>
              </a:defRPr>
            </a:pPr>
          </a:p>
        </c:txPr>
        <c:crossAx val="1235768031"/>
        <c:crosses val="autoZero"/>
        <c:crossBetween val="midCat"/>
      </c:valAx>
      <c:valAx>
        <c:axId val="1235768031"/>
        <c:scaling>
          <c:orientation val="minMax"/>
        </c:scaling>
        <c:delete val="0"/>
        <c:axPos val="l"/>
        <c:title>
          <c:tx>
            <c:rich>
              <a:bodyPr rot="-5400000" spcFirstLastPara="0" vertOverflow="ellipsis" vert="horz" wrap="square" anchor="ctr" anchorCtr="1"/>
              <a:lstStyle/>
              <a:p>
                <a:pPr>
                  <a:defRPr lang="ru-RU" sz="1000" b="1" i="0" u="none" strike="noStrike" kern="1200" baseline="0">
                    <a:solidFill>
                      <a:schemeClr val="tx1"/>
                    </a:solidFill>
                    <a:latin typeface="+mn-lt"/>
                    <a:ea typeface="+mn-ea"/>
                    <a:cs typeface="+mn-cs"/>
                  </a:defRPr>
                </a:pPr>
                <a:r>
                  <a:rPr lang="ru-RU"/>
                  <a:t>Остатки</a:t>
                </a:r>
                <a:endParaRPr lang="ru-RU"/>
              </a:p>
            </c:rich>
          </c:tx>
          <c:layout/>
          <c:overlay val="0"/>
        </c:title>
        <c:numFmt formatCode="General" sourceLinked="1"/>
        <c:majorTickMark val="out"/>
        <c:minorTickMark val="none"/>
        <c:tickLblPos val="nextTo"/>
        <c:txPr>
          <a:bodyPr rot="-60000000" spcFirstLastPara="0" vertOverflow="ellipsis" vert="horz" wrap="square" anchor="ctr" anchorCtr="1"/>
          <a:lstStyle/>
          <a:p>
            <a:pPr>
              <a:defRPr lang="ru-RU" sz="1000" b="0" i="0" u="none" strike="noStrike" kern="1200" baseline="0">
                <a:solidFill>
                  <a:schemeClr val="tx1"/>
                </a:solidFill>
                <a:latin typeface="+mn-lt"/>
                <a:ea typeface="+mn-ea"/>
                <a:cs typeface="+mn-cs"/>
              </a:defRPr>
            </a:pPr>
          </a:p>
        </c:txPr>
        <c:crossAx val="1302364735"/>
        <c:crosses val="autoZero"/>
        <c:crossBetween val="midCat"/>
      </c:valAx>
    </c:plotArea>
    <c:plotVisOnly val="1"/>
    <c:dispBlanksAs val="gap"/>
    <c:showDLblsOverMax val="0"/>
    <c:extLst>
      <c:ext uri="{0b15fc19-7d7d-44ad-8c2d-2c3a37ce22c3}">
        <chartProps xmlns="https://web.wps.cn/et/2018/main" chartId="{832a8ff5-f835-4b3b-9247-310d7bbab5ed}"/>
      </c:ext>
    </c:extLst>
  </c:chart>
  <c:txPr>
    <a:bodyPr/>
    <a:lstStyle/>
    <a:p>
      <a:pPr>
        <a:defRPr lang="ru-RU"/>
      </a:pPr>
    </a:p>
  </c:txPr>
  <c:printSettings>
    <c:headerFooter/>
    <c:pageMargins b="0.75" l="0.7" r="0.7" t="0.75" header="0.3" footer="0.3"/>
    <c:pageSetup/>
  </c:printSettings>
</c:chartSpace>
</file>

<file path=xl/charts/chart42.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0" vertOverflow="ellipsis" vert="horz" wrap="square" anchor="ctr" anchorCtr="1"/>
          <a:lstStyle/>
          <a:p>
            <a:pPr>
              <a:defRPr lang="ru-RU" sz="1800" b="1" i="0" u="none" strike="noStrike" kern="1200" baseline="0">
                <a:solidFill>
                  <a:schemeClr val="tx1"/>
                </a:solidFill>
                <a:latin typeface="+mn-lt"/>
                <a:ea typeface="+mn-ea"/>
                <a:cs typeface="+mn-cs"/>
              </a:defRPr>
            </a:pPr>
            <a:r>
              <a:rPr lang="ru-RU"/>
              <a:t>Индекс рыночных цен, в разах, </a:t>
            </a:r>
            <a:r>
              <a:rPr lang="en-US"/>
              <a:t>X8 </a:t>
            </a:r>
            <a:r>
              <a:rPr lang="ru-RU"/>
              <a:t>График остатков</a:t>
            </a:r>
            <a:endParaRPr lang="ru-RU"/>
          </a:p>
        </c:rich>
      </c:tx>
      <c:layout/>
      <c:overlay val="0"/>
    </c:title>
    <c:autoTitleDeleted val="0"/>
    <c:plotArea>
      <c:layout/>
      <c:scatterChart>
        <c:scatterStyle val="marker"/>
        <c:varyColors val="0"/>
        <c:ser>
          <c:idx val="0"/>
          <c:order val="0"/>
          <c:spPr>
            <a:ln w="19050" cap="rnd" cmpd="sng" algn="ctr">
              <a:noFill/>
              <a:prstDash val="solid"/>
              <a:round/>
            </a:ln>
          </c:spPr>
          <c:dLbls>
            <c:delete val="1"/>
          </c:dLbls>
          <c:xVal>
            <c:numRef>
              <c:f>'Исходные данные 5'!$E$2:$E$31</c:f>
              <c:numCache>
                <c:formatCode>General</c:formatCode>
                <c:ptCount val="30"/>
                <c:pt idx="0">
                  <c:v>1.02</c:v>
                </c:pt>
                <c:pt idx="1">
                  <c:v>1.03</c:v>
                </c:pt>
                <c:pt idx="2">
                  <c:v>1.02</c:v>
                </c:pt>
                <c:pt idx="3">
                  <c:v>1.04</c:v>
                </c:pt>
                <c:pt idx="4">
                  <c:v>1.03</c:v>
                </c:pt>
                <c:pt idx="5">
                  <c:v>1.03</c:v>
                </c:pt>
                <c:pt idx="6">
                  <c:v>1.04</c:v>
                </c:pt>
                <c:pt idx="7">
                  <c:v>1.05</c:v>
                </c:pt>
                <c:pt idx="8">
                  <c:v>1.07</c:v>
                </c:pt>
                <c:pt idx="9">
                  <c:v>1.2</c:v>
                </c:pt>
                <c:pt idx="10">
                  <c:v>1.25</c:v>
                </c:pt>
                <c:pt idx="11">
                  <c:v>1.28</c:v>
                </c:pt>
                <c:pt idx="12">
                  <c:v>1.32</c:v>
                </c:pt>
                <c:pt idx="13">
                  <c:v>1.35</c:v>
                </c:pt>
                <c:pt idx="14">
                  <c:v>1.32</c:v>
                </c:pt>
                <c:pt idx="15">
                  <c:v>1.32</c:v>
                </c:pt>
                <c:pt idx="16">
                  <c:v>1.45</c:v>
                </c:pt>
                <c:pt idx="17">
                  <c:v>1.48</c:v>
                </c:pt>
                <c:pt idx="18">
                  <c:v>1.31</c:v>
                </c:pt>
                <c:pt idx="19">
                  <c:v>1.22</c:v>
                </c:pt>
                <c:pt idx="20">
                  <c:v>1.15</c:v>
                </c:pt>
                <c:pt idx="21">
                  <c:v>1.11</c:v>
                </c:pt>
                <c:pt idx="22">
                  <c:v>1.08</c:v>
                </c:pt>
                <c:pt idx="23">
                  <c:v>1.06</c:v>
                </c:pt>
                <c:pt idx="24">
                  <c:v>1.06</c:v>
                </c:pt>
                <c:pt idx="25">
                  <c:v>1.05</c:v>
                </c:pt>
                <c:pt idx="26">
                  <c:v>1.05</c:v>
                </c:pt>
                <c:pt idx="27">
                  <c:v>1.03</c:v>
                </c:pt>
                <c:pt idx="28">
                  <c:v>1.04</c:v>
                </c:pt>
                <c:pt idx="29">
                  <c:v>1.05</c:v>
                </c:pt>
              </c:numCache>
            </c:numRef>
          </c:xVal>
          <c:yVal>
            <c:numRef>
              <c:f>'Анализ данных 5'!$C$28:$C$57</c:f>
              <c:numCache>
                <c:formatCode>General</c:formatCode>
                <c:ptCount val="30"/>
                <c:pt idx="0">
                  <c:v>-20.581998207338</c:v>
                </c:pt>
                <c:pt idx="1">
                  <c:v>-62.2022945939029</c:v>
                </c:pt>
                <c:pt idx="2">
                  <c:v>-7.96006453256189</c:v>
                </c:pt>
                <c:pt idx="3">
                  <c:v>-7.21713054232976</c:v>
                </c:pt>
                <c:pt idx="4">
                  <c:v>-6.51299857510389</c:v>
                </c:pt>
                <c:pt idx="5">
                  <c:v>2.56706956580018</c:v>
                </c:pt>
                <c:pt idx="6">
                  <c:v>20.1360443682884</c:v>
                </c:pt>
                <c:pt idx="7">
                  <c:v>37.6865360612891</c:v>
                </c:pt>
                <c:pt idx="8">
                  <c:v>54.7968845789878</c:v>
                </c:pt>
                <c:pt idx="9">
                  <c:v>24.561638618103</c:v>
                </c:pt>
                <c:pt idx="10">
                  <c:v>-74.0935519873809</c:v>
                </c:pt>
                <c:pt idx="11">
                  <c:v>-10.2473125403019</c:v>
                </c:pt>
                <c:pt idx="12">
                  <c:v>0.0498997552946321</c:v>
                </c:pt>
                <c:pt idx="13">
                  <c:v>23.9807416930186</c:v>
                </c:pt>
                <c:pt idx="14">
                  <c:v>20.5391213814839</c:v>
                </c:pt>
                <c:pt idx="15">
                  <c:v>18.0333772403478</c:v>
                </c:pt>
                <c:pt idx="16">
                  <c:v>35.7009712080463</c:v>
                </c:pt>
                <c:pt idx="17">
                  <c:v>-40.6299420263649</c:v>
                </c:pt>
                <c:pt idx="18">
                  <c:v>-19.5962908744335</c:v>
                </c:pt>
                <c:pt idx="19">
                  <c:v>1.5175180785684</c:v>
                </c:pt>
                <c:pt idx="20">
                  <c:v>5.34416409558219</c:v>
                </c:pt>
                <c:pt idx="21">
                  <c:v>40.513422993997</c:v>
                </c:pt>
                <c:pt idx="22">
                  <c:v>-10.5411258691661</c:v>
                </c:pt>
                <c:pt idx="23">
                  <c:v>-62.0313387924975</c:v>
                </c:pt>
                <c:pt idx="24">
                  <c:v>-42.6262082426026</c:v>
                </c:pt>
                <c:pt idx="25">
                  <c:v>-31.4949709680942</c:v>
                </c:pt>
                <c:pt idx="26">
                  <c:v>11.7908853016937</c:v>
                </c:pt>
                <c:pt idx="27">
                  <c:v>22.8794290234617</c:v>
                </c:pt>
                <c:pt idx="28">
                  <c:v>39.417830846847</c:v>
                </c:pt>
                <c:pt idx="29">
                  <c:v>36.2196929412751</c:v>
                </c:pt>
              </c:numCache>
            </c:numRef>
          </c:yVal>
          <c:smooth val="0"/>
        </c:ser>
        <c:dLbls>
          <c:showLegendKey val="0"/>
          <c:showVal val="0"/>
          <c:showCatName val="0"/>
          <c:showSerName val="0"/>
          <c:showPercent val="0"/>
          <c:showBubbleSize val="0"/>
        </c:dLbls>
        <c:axId val="1230781263"/>
        <c:axId val="1235776351"/>
      </c:scatterChart>
      <c:valAx>
        <c:axId val="1230781263"/>
        <c:scaling>
          <c:orientation val="minMax"/>
        </c:scaling>
        <c:delete val="0"/>
        <c:axPos val="b"/>
        <c:title>
          <c:tx>
            <c:rich>
              <a:bodyPr rot="0" spcFirstLastPara="0" vertOverflow="ellipsis" vert="horz" wrap="square" anchor="ctr" anchorCtr="1"/>
              <a:lstStyle/>
              <a:p>
                <a:pPr>
                  <a:defRPr lang="ru-RU" sz="1000" b="1" i="0" u="none" strike="noStrike" kern="1200" baseline="0">
                    <a:solidFill>
                      <a:schemeClr val="tx1"/>
                    </a:solidFill>
                    <a:latin typeface="+mn-lt"/>
                    <a:ea typeface="+mn-ea"/>
                    <a:cs typeface="+mn-cs"/>
                  </a:defRPr>
                </a:pPr>
                <a:r>
                  <a:rPr lang="ru-RU"/>
                  <a:t>Индекс рыночных цен, в разах, </a:t>
                </a:r>
                <a:r>
                  <a:rPr lang="en-US"/>
                  <a:t>X8</a:t>
                </a:r>
                <a:endParaRPr lang="en-US"/>
              </a:p>
            </c:rich>
          </c:tx>
          <c:layout/>
          <c:overlay val="0"/>
        </c:title>
        <c:numFmt formatCode="General" sourceLinked="1"/>
        <c:majorTickMark val="out"/>
        <c:minorTickMark val="none"/>
        <c:tickLblPos val="nextTo"/>
        <c:txPr>
          <a:bodyPr rot="-60000000" spcFirstLastPara="0" vertOverflow="ellipsis" vert="horz" wrap="square" anchor="ctr" anchorCtr="1"/>
          <a:lstStyle/>
          <a:p>
            <a:pPr>
              <a:defRPr lang="ru-RU" sz="1000" b="0" i="0" u="none" strike="noStrike" kern="1200" baseline="0">
                <a:solidFill>
                  <a:schemeClr val="tx1"/>
                </a:solidFill>
                <a:latin typeface="+mn-lt"/>
                <a:ea typeface="+mn-ea"/>
                <a:cs typeface="+mn-cs"/>
              </a:defRPr>
            </a:pPr>
          </a:p>
        </c:txPr>
        <c:crossAx val="1235776351"/>
        <c:crosses val="autoZero"/>
        <c:crossBetween val="midCat"/>
      </c:valAx>
      <c:valAx>
        <c:axId val="1235776351"/>
        <c:scaling>
          <c:orientation val="minMax"/>
        </c:scaling>
        <c:delete val="0"/>
        <c:axPos val="l"/>
        <c:title>
          <c:tx>
            <c:rich>
              <a:bodyPr rot="-5400000" spcFirstLastPara="0" vertOverflow="ellipsis" vert="horz" wrap="square" anchor="ctr" anchorCtr="1"/>
              <a:lstStyle/>
              <a:p>
                <a:pPr>
                  <a:defRPr lang="ru-RU" sz="1000" b="1" i="0" u="none" strike="noStrike" kern="1200" baseline="0">
                    <a:solidFill>
                      <a:schemeClr val="tx1"/>
                    </a:solidFill>
                    <a:latin typeface="+mn-lt"/>
                    <a:ea typeface="+mn-ea"/>
                    <a:cs typeface="+mn-cs"/>
                  </a:defRPr>
                </a:pPr>
                <a:r>
                  <a:rPr lang="ru-RU"/>
                  <a:t>Остатки</a:t>
                </a:r>
                <a:endParaRPr lang="ru-RU"/>
              </a:p>
            </c:rich>
          </c:tx>
          <c:layout/>
          <c:overlay val="0"/>
        </c:title>
        <c:numFmt formatCode="General" sourceLinked="1"/>
        <c:majorTickMark val="out"/>
        <c:minorTickMark val="none"/>
        <c:tickLblPos val="nextTo"/>
        <c:txPr>
          <a:bodyPr rot="-60000000" spcFirstLastPara="0" vertOverflow="ellipsis" vert="horz" wrap="square" anchor="ctr" anchorCtr="1"/>
          <a:lstStyle/>
          <a:p>
            <a:pPr>
              <a:defRPr lang="ru-RU" sz="1000" b="0" i="0" u="none" strike="noStrike" kern="1200" baseline="0">
                <a:solidFill>
                  <a:schemeClr val="tx1"/>
                </a:solidFill>
                <a:latin typeface="+mn-lt"/>
                <a:ea typeface="+mn-ea"/>
                <a:cs typeface="+mn-cs"/>
              </a:defRPr>
            </a:pPr>
          </a:p>
        </c:txPr>
        <c:crossAx val="1230781263"/>
        <c:crosses val="autoZero"/>
        <c:crossBetween val="midCat"/>
      </c:valAx>
    </c:plotArea>
    <c:plotVisOnly val="1"/>
    <c:dispBlanksAs val="gap"/>
    <c:showDLblsOverMax val="0"/>
    <c:extLst>
      <c:ext uri="{0b15fc19-7d7d-44ad-8c2d-2c3a37ce22c3}">
        <chartProps xmlns="https://web.wps.cn/et/2018/main" chartId="{e13665aa-e6f3-4601-942c-fb0dbd8fa9f7}"/>
      </c:ext>
    </c:extLst>
  </c:chart>
  <c:txPr>
    <a:bodyPr/>
    <a:lstStyle/>
    <a:p>
      <a:pPr>
        <a:defRPr lang="ru-RU"/>
      </a:pPr>
    </a:p>
  </c:txPr>
  <c:printSettings>
    <c:headerFooter/>
    <c:pageMargins b="0.75" l="0.7" r="0.7" t="0.75" header="0.3" footer="0.3"/>
    <c:pageSetup/>
  </c:printSettings>
</c:chartSpace>
</file>

<file path=xl/charts/chart43.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0" vertOverflow="ellipsis" vert="horz" wrap="square" anchor="ctr" anchorCtr="1"/>
          <a:lstStyle/>
          <a:p>
            <a:pPr>
              <a:defRPr lang="ru-RU" sz="1800" b="1" i="0" u="none" strike="noStrike" kern="1200" baseline="0">
                <a:solidFill>
                  <a:schemeClr val="tx1"/>
                </a:solidFill>
                <a:latin typeface="+mn-lt"/>
                <a:ea typeface="+mn-ea"/>
                <a:cs typeface="+mn-cs"/>
              </a:defRPr>
            </a:pPr>
            <a:r>
              <a:rPr lang="ru-RU"/>
              <a:t>Уровень использования производственных мощностей, %, </a:t>
            </a:r>
            <a:r>
              <a:rPr lang="en-US"/>
              <a:t>X9 </a:t>
            </a:r>
            <a:r>
              <a:rPr lang="ru-RU"/>
              <a:t>График остатков</a:t>
            </a:r>
            <a:endParaRPr lang="ru-RU"/>
          </a:p>
        </c:rich>
      </c:tx>
      <c:layout/>
      <c:overlay val="0"/>
    </c:title>
    <c:autoTitleDeleted val="0"/>
    <c:plotArea>
      <c:layout/>
      <c:scatterChart>
        <c:scatterStyle val="marker"/>
        <c:varyColors val="0"/>
        <c:ser>
          <c:idx val="0"/>
          <c:order val="0"/>
          <c:spPr>
            <a:ln w="19050" cap="rnd" cmpd="sng" algn="ctr">
              <a:noFill/>
              <a:prstDash val="solid"/>
              <a:round/>
            </a:ln>
          </c:spPr>
          <c:dLbls>
            <c:delete val="1"/>
          </c:dLbls>
          <c:xVal>
            <c:numRef>
              <c:f>'Исходные данные 5'!$F$2:$F$31</c:f>
              <c:numCache>
                <c:formatCode>General</c:formatCode>
                <c:ptCount val="30"/>
                <c:pt idx="0">
                  <c:v>96</c:v>
                </c:pt>
                <c:pt idx="1">
                  <c:v>97</c:v>
                </c:pt>
                <c:pt idx="2">
                  <c:v>96</c:v>
                </c:pt>
                <c:pt idx="3">
                  <c:v>93</c:v>
                </c:pt>
                <c:pt idx="4">
                  <c:v>93</c:v>
                </c:pt>
                <c:pt idx="5">
                  <c:v>94</c:v>
                </c:pt>
                <c:pt idx="6">
                  <c:v>95</c:v>
                </c:pt>
                <c:pt idx="7">
                  <c:v>95</c:v>
                </c:pt>
                <c:pt idx="8">
                  <c:v>95</c:v>
                </c:pt>
                <c:pt idx="9">
                  <c:v>95</c:v>
                </c:pt>
                <c:pt idx="10">
                  <c:v>88</c:v>
                </c:pt>
                <c:pt idx="11">
                  <c:v>85</c:v>
                </c:pt>
                <c:pt idx="12">
                  <c:v>72</c:v>
                </c:pt>
                <c:pt idx="13">
                  <c:v>68</c:v>
                </c:pt>
                <c:pt idx="14">
                  <c:v>66</c:v>
                </c:pt>
                <c:pt idx="15">
                  <c:v>62</c:v>
                </c:pt>
                <c:pt idx="16">
                  <c:v>60</c:v>
                </c:pt>
                <c:pt idx="17">
                  <c:v>60</c:v>
                </c:pt>
                <c:pt idx="18">
                  <c:v>70</c:v>
                </c:pt>
                <c:pt idx="19">
                  <c:v>80</c:v>
                </c:pt>
                <c:pt idx="20">
                  <c:v>87</c:v>
                </c:pt>
                <c:pt idx="21">
                  <c:v>89</c:v>
                </c:pt>
                <c:pt idx="22">
                  <c:v>89</c:v>
                </c:pt>
                <c:pt idx="23">
                  <c:v>89</c:v>
                </c:pt>
                <c:pt idx="24">
                  <c:v>87</c:v>
                </c:pt>
                <c:pt idx="25">
                  <c:v>83</c:v>
                </c:pt>
                <c:pt idx="26">
                  <c:v>88</c:v>
                </c:pt>
                <c:pt idx="27">
                  <c:v>96</c:v>
                </c:pt>
                <c:pt idx="28">
                  <c:v>97</c:v>
                </c:pt>
                <c:pt idx="29">
                  <c:v>90</c:v>
                </c:pt>
              </c:numCache>
            </c:numRef>
          </c:xVal>
          <c:yVal>
            <c:numRef>
              <c:f>'Анализ данных 5'!$C$28:$C$57</c:f>
              <c:numCache>
                <c:formatCode>General</c:formatCode>
                <c:ptCount val="30"/>
                <c:pt idx="0">
                  <c:v>-20.581998207338</c:v>
                </c:pt>
                <c:pt idx="1">
                  <c:v>-62.2022945939029</c:v>
                </c:pt>
                <c:pt idx="2">
                  <c:v>-7.96006453256189</c:v>
                </c:pt>
                <c:pt idx="3">
                  <c:v>-7.21713054232976</c:v>
                </c:pt>
                <c:pt idx="4">
                  <c:v>-6.51299857510389</c:v>
                </c:pt>
                <c:pt idx="5">
                  <c:v>2.56706956580018</c:v>
                </c:pt>
                <c:pt idx="6">
                  <c:v>20.1360443682884</c:v>
                </c:pt>
                <c:pt idx="7">
                  <c:v>37.6865360612891</c:v>
                </c:pt>
                <c:pt idx="8">
                  <c:v>54.7968845789878</c:v>
                </c:pt>
                <c:pt idx="9">
                  <c:v>24.561638618103</c:v>
                </c:pt>
                <c:pt idx="10">
                  <c:v>-74.0935519873809</c:v>
                </c:pt>
                <c:pt idx="11">
                  <c:v>-10.2473125403019</c:v>
                </c:pt>
                <c:pt idx="12">
                  <c:v>0.0498997552946321</c:v>
                </c:pt>
                <c:pt idx="13">
                  <c:v>23.9807416930186</c:v>
                </c:pt>
                <c:pt idx="14">
                  <c:v>20.5391213814839</c:v>
                </c:pt>
                <c:pt idx="15">
                  <c:v>18.0333772403478</c:v>
                </c:pt>
                <c:pt idx="16">
                  <c:v>35.7009712080463</c:v>
                </c:pt>
                <c:pt idx="17">
                  <c:v>-40.6299420263649</c:v>
                </c:pt>
                <c:pt idx="18">
                  <c:v>-19.5962908744335</c:v>
                </c:pt>
                <c:pt idx="19">
                  <c:v>1.5175180785684</c:v>
                </c:pt>
                <c:pt idx="20">
                  <c:v>5.34416409558219</c:v>
                </c:pt>
                <c:pt idx="21">
                  <c:v>40.513422993997</c:v>
                </c:pt>
                <c:pt idx="22">
                  <c:v>-10.5411258691661</c:v>
                </c:pt>
                <c:pt idx="23">
                  <c:v>-62.0313387924975</c:v>
                </c:pt>
                <c:pt idx="24">
                  <c:v>-42.6262082426026</c:v>
                </c:pt>
                <c:pt idx="25">
                  <c:v>-31.4949709680942</c:v>
                </c:pt>
                <c:pt idx="26">
                  <c:v>11.7908853016937</c:v>
                </c:pt>
                <c:pt idx="27">
                  <c:v>22.8794290234617</c:v>
                </c:pt>
                <c:pt idx="28">
                  <c:v>39.417830846847</c:v>
                </c:pt>
                <c:pt idx="29">
                  <c:v>36.2196929412751</c:v>
                </c:pt>
              </c:numCache>
            </c:numRef>
          </c:yVal>
          <c:smooth val="0"/>
        </c:ser>
        <c:dLbls>
          <c:showLegendKey val="0"/>
          <c:showVal val="0"/>
          <c:showCatName val="0"/>
          <c:showSerName val="0"/>
          <c:showPercent val="0"/>
          <c:showBubbleSize val="0"/>
        </c:dLbls>
        <c:axId val="1230779663"/>
        <c:axId val="1235762623"/>
      </c:scatterChart>
      <c:valAx>
        <c:axId val="1230779663"/>
        <c:scaling>
          <c:orientation val="minMax"/>
        </c:scaling>
        <c:delete val="0"/>
        <c:axPos val="b"/>
        <c:title>
          <c:tx>
            <c:rich>
              <a:bodyPr rot="0" spcFirstLastPara="0" vertOverflow="ellipsis" vert="horz" wrap="square" anchor="ctr" anchorCtr="1"/>
              <a:lstStyle/>
              <a:p>
                <a:pPr>
                  <a:defRPr lang="ru-RU" sz="1000" b="1" i="0" u="none" strike="noStrike" kern="1200" baseline="0">
                    <a:solidFill>
                      <a:schemeClr val="tx1"/>
                    </a:solidFill>
                    <a:latin typeface="+mn-lt"/>
                    <a:ea typeface="+mn-ea"/>
                    <a:cs typeface="+mn-cs"/>
                  </a:defRPr>
                </a:pPr>
                <a:r>
                  <a:rPr lang="ru-RU"/>
                  <a:t>Уровень использования производственных мощностей, %, </a:t>
                </a:r>
                <a:r>
                  <a:rPr lang="en-US"/>
                  <a:t>X9</a:t>
                </a:r>
                <a:endParaRPr lang="en-US"/>
              </a:p>
            </c:rich>
          </c:tx>
          <c:layout/>
          <c:overlay val="0"/>
        </c:title>
        <c:numFmt formatCode="General" sourceLinked="1"/>
        <c:majorTickMark val="out"/>
        <c:minorTickMark val="none"/>
        <c:tickLblPos val="nextTo"/>
        <c:txPr>
          <a:bodyPr rot="-60000000" spcFirstLastPara="0" vertOverflow="ellipsis" vert="horz" wrap="square" anchor="ctr" anchorCtr="1"/>
          <a:lstStyle/>
          <a:p>
            <a:pPr>
              <a:defRPr lang="ru-RU" sz="1000" b="0" i="0" u="none" strike="noStrike" kern="1200" baseline="0">
                <a:solidFill>
                  <a:schemeClr val="tx1"/>
                </a:solidFill>
                <a:latin typeface="+mn-lt"/>
                <a:ea typeface="+mn-ea"/>
                <a:cs typeface="+mn-cs"/>
              </a:defRPr>
            </a:pPr>
          </a:p>
        </c:txPr>
        <c:crossAx val="1235762623"/>
        <c:crosses val="autoZero"/>
        <c:crossBetween val="midCat"/>
      </c:valAx>
      <c:valAx>
        <c:axId val="1235762623"/>
        <c:scaling>
          <c:orientation val="minMax"/>
        </c:scaling>
        <c:delete val="0"/>
        <c:axPos val="l"/>
        <c:title>
          <c:tx>
            <c:rich>
              <a:bodyPr rot="-5400000" spcFirstLastPara="0" vertOverflow="ellipsis" vert="horz" wrap="square" anchor="ctr" anchorCtr="1"/>
              <a:lstStyle/>
              <a:p>
                <a:pPr>
                  <a:defRPr lang="ru-RU" sz="1000" b="1" i="0" u="none" strike="noStrike" kern="1200" baseline="0">
                    <a:solidFill>
                      <a:schemeClr val="tx1"/>
                    </a:solidFill>
                    <a:latin typeface="+mn-lt"/>
                    <a:ea typeface="+mn-ea"/>
                    <a:cs typeface="+mn-cs"/>
                  </a:defRPr>
                </a:pPr>
                <a:r>
                  <a:rPr lang="ru-RU"/>
                  <a:t>Остатки</a:t>
                </a:r>
                <a:endParaRPr lang="ru-RU"/>
              </a:p>
            </c:rich>
          </c:tx>
          <c:layout/>
          <c:overlay val="0"/>
        </c:title>
        <c:numFmt formatCode="General" sourceLinked="1"/>
        <c:majorTickMark val="out"/>
        <c:minorTickMark val="none"/>
        <c:tickLblPos val="nextTo"/>
        <c:txPr>
          <a:bodyPr rot="-60000000" spcFirstLastPara="0" vertOverflow="ellipsis" vert="horz" wrap="square" anchor="ctr" anchorCtr="1"/>
          <a:lstStyle/>
          <a:p>
            <a:pPr>
              <a:defRPr lang="ru-RU" sz="1000" b="0" i="0" u="none" strike="noStrike" kern="1200" baseline="0">
                <a:solidFill>
                  <a:schemeClr val="tx1"/>
                </a:solidFill>
                <a:latin typeface="+mn-lt"/>
                <a:ea typeface="+mn-ea"/>
                <a:cs typeface="+mn-cs"/>
              </a:defRPr>
            </a:pPr>
          </a:p>
        </c:txPr>
        <c:crossAx val="1230779663"/>
        <c:crosses val="autoZero"/>
        <c:crossBetween val="midCat"/>
      </c:valAx>
    </c:plotArea>
    <c:plotVisOnly val="1"/>
    <c:dispBlanksAs val="gap"/>
    <c:showDLblsOverMax val="0"/>
    <c:extLst>
      <c:ext uri="{0b15fc19-7d7d-44ad-8c2d-2c3a37ce22c3}">
        <chartProps xmlns="https://web.wps.cn/et/2018/main" chartId="{ee8fd292-56a8-4309-a1cd-e9f183715451}"/>
      </c:ext>
    </c:extLst>
  </c:chart>
  <c:txPr>
    <a:bodyPr/>
    <a:lstStyle/>
    <a:p>
      <a:pPr>
        <a:defRPr lang="ru-RU"/>
      </a:pPr>
    </a:p>
  </c:txPr>
  <c:printSettings>
    <c:headerFooter/>
    <c:pageMargins b="0.75" l="0.7" r="0.7" t="0.75" header="0.3" footer="0.3"/>
    <c:pageSetup/>
  </c:printSettings>
</c:chartSpace>
</file>

<file path=xl/charts/chart44.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0" vertOverflow="ellipsis" vert="horz" wrap="square" anchor="ctr" anchorCtr="1"/>
          <a:lstStyle/>
          <a:p>
            <a:pPr>
              <a:defRPr lang="ru-RU" sz="1800" b="1" i="0" u="none" strike="noStrike" kern="1200" baseline="0">
                <a:solidFill>
                  <a:schemeClr val="tx1"/>
                </a:solidFill>
                <a:latin typeface="+mn-lt"/>
                <a:ea typeface="+mn-ea"/>
                <a:cs typeface="+mn-cs"/>
              </a:defRPr>
            </a:pPr>
            <a:r>
              <a:rPr lang="ru-RU"/>
              <a:t>Среднесписочная численность работников, чел., </a:t>
            </a:r>
            <a:r>
              <a:rPr lang="en-US"/>
              <a:t>X2 </a:t>
            </a:r>
            <a:r>
              <a:rPr lang="ru-RU"/>
              <a:t>График подбора</a:t>
            </a:r>
            <a:endParaRPr lang="ru-RU"/>
          </a:p>
        </c:rich>
      </c:tx>
      <c:layout/>
      <c:overlay val="0"/>
    </c:title>
    <c:autoTitleDeleted val="0"/>
    <c:plotArea>
      <c:layout/>
      <c:scatterChart>
        <c:scatterStyle val="marker"/>
        <c:varyColors val="0"/>
        <c:ser>
          <c:idx val="0"/>
          <c:order val="0"/>
          <c:tx>
            <c:strRef>
              <c:f>"Прибыль, млн руб., Y"</c:f>
              <c:strCache>
                <c:ptCount val="1"/>
                <c:pt idx="0">
                  <c:v>Прибыль, млн руб., Y</c:v>
                </c:pt>
              </c:strCache>
            </c:strRef>
          </c:tx>
          <c:spPr>
            <a:ln w="19050" cap="rnd" cmpd="sng" algn="ctr">
              <a:noFill/>
              <a:prstDash val="solid"/>
              <a:round/>
            </a:ln>
          </c:spPr>
          <c:dLbls>
            <c:delete val="1"/>
          </c:dLbls>
          <c:xVal>
            <c:numRef>
              <c:f>'Исходные данные 5'!$C$2:$C$31</c:f>
              <c:numCache>
                <c:formatCode>General</c:formatCode>
                <c:ptCount val="30"/>
                <c:pt idx="0">
                  <c:v>500</c:v>
                </c:pt>
                <c:pt idx="1">
                  <c:v>510</c:v>
                </c:pt>
                <c:pt idx="2">
                  <c:v>509</c:v>
                </c:pt>
                <c:pt idx="3">
                  <c:v>515</c:v>
                </c:pt>
                <c:pt idx="4">
                  <c:v>520</c:v>
                </c:pt>
                <c:pt idx="5">
                  <c:v>519</c:v>
                </c:pt>
                <c:pt idx="6">
                  <c:v>525</c:v>
                </c:pt>
                <c:pt idx="7">
                  <c:v>526</c:v>
                </c:pt>
                <c:pt idx="8">
                  <c:v>530</c:v>
                </c:pt>
                <c:pt idx="9">
                  <c:v>550</c:v>
                </c:pt>
                <c:pt idx="10">
                  <c:v>570</c:v>
                </c:pt>
                <c:pt idx="11">
                  <c:v>560</c:v>
                </c:pt>
                <c:pt idx="12">
                  <c:v>555</c:v>
                </c:pt>
                <c:pt idx="13">
                  <c:v>555</c:v>
                </c:pt>
                <c:pt idx="14">
                  <c:v>560</c:v>
                </c:pt>
                <c:pt idx="15">
                  <c:v>560</c:v>
                </c:pt>
                <c:pt idx="16">
                  <c:v>562</c:v>
                </c:pt>
                <c:pt idx="17">
                  <c:v>580</c:v>
                </c:pt>
                <c:pt idx="18">
                  <c:v>581</c:v>
                </c:pt>
                <c:pt idx="19">
                  <c:v>582</c:v>
                </c:pt>
                <c:pt idx="20">
                  <c:v>585</c:v>
                </c:pt>
                <c:pt idx="21">
                  <c:v>590</c:v>
                </c:pt>
                <c:pt idx="22">
                  <c:v>601</c:v>
                </c:pt>
                <c:pt idx="23">
                  <c:v>612</c:v>
                </c:pt>
                <c:pt idx="24">
                  <c:v>610</c:v>
                </c:pt>
                <c:pt idx="25">
                  <c:v>611</c:v>
                </c:pt>
                <c:pt idx="26">
                  <c:v>615</c:v>
                </c:pt>
                <c:pt idx="27">
                  <c:v>620</c:v>
                </c:pt>
                <c:pt idx="28">
                  <c:v>621</c:v>
                </c:pt>
                <c:pt idx="29">
                  <c:v>622</c:v>
                </c:pt>
              </c:numCache>
            </c:numRef>
          </c:xVal>
          <c:yVal>
            <c:numRef>
              <c:f>'Исходные данные 5'!$B$2:$B$31</c:f>
              <c:numCache>
                <c:formatCode>General</c:formatCode>
                <c:ptCount val="30"/>
                <c:pt idx="0">
                  <c:v>335</c:v>
                </c:pt>
                <c:pt idx="1">
                  <c:v>336</c:v>
                </c:pt>
                <c:pt idx="2">
                  <c:v>388</c:v>
                </c:pt>
                <c:pt idx="3">
                  <c:v>420</c:v>
                </c:pt>
                <c:pt idx="4">
                  <c:v>450</c:v>
                </c:pt>
                <c:pt idx="5">
                  <c:v>450</c:v>
                </c:pt>
                <c:pt idx="6">
                  <c:v>500</c:v>
                </c:pt>
                <c:pt idx="7">
                  <c:v>520</c:v>
                </c:pt>
                <c:pt idx="8">
                  <c:v>550</c:v>
                </c:pt>
                <c:pt idx="9">
                  <c:v>600</c:v>
                </c:pt>
                <c:pt idx="10">
                  <c:v>605</c:v>
                </c:pt>
                <c:pt idx="11">
                  <c:v>620</c:v>
                </c:pt>
                <c:pt idx="12">
                  <c:v>630</c:v>
                </c:pt>
                <c:pt idx="13">
                  <c:v>655</c:v>
                </c:pt>
                <c:pt idx="14">
                  <c:v>690</c:v>
                </c:pt>
                <c:pt idx="15">
                  <c:v>690</c:v>
                </c:pt>
                <c:pt idx="16">
                  <c:v>710</c:v>
                </c:pt>
                <c:pt idx="17">
                  <c:v>720</c:v>
                </c:pt>
                <c:pt idx="18">
                  <c:v>745</c:v>
                </c:pt>
                <c:pt idx="19">
                  <c:v>760</c:v>
                </c:pt>
                <c:pt idx="20">
                  <c:v>780</c:v>
                </c:pt>
                <c:pt idx="21">
                  <c:v>840</c:v>
                </c:pt>
                <c:pt idx="22">
                  <c:v>845</c:v>
                </c:pt>
                <c:pt idx="23">
                  <c:v>850</c:v>
                </c:pt>
                <c:pt idx="24">
                  <c:v>860</c:v>
                </c:pt>
                <c:pt idx="25">
                  <c:v>890</c:v>
                </c:pt>
                <c:pt idx="26">
                  <c:v>940</c:v>
                </c:pt>
                <c:pt idx="27">
                  <c:v>960</c:v>
                </c:pt>
                <c:pt idx="28">
                  <c:v>980</c:v>
                </c:pt>
                <c:pt idx="29">
                  <c:v>990</c:v>
                </c:pt>
              </c:numCache>
            </c:numRef>
          </c:yVal>
          <c:smooth val="0"/>
        </c:ser>
        <c:ser>
          <c:idx val="1"/>
          <c:order val="1"/>
          <c:tx>
            <c:strRef>
              <c:f>"Предсказанное Прибыль, млн руб., Y"</c:f>
              <c:strCache>
                <c:ptCount val="1"/>
                <c:pt idx="0">
                  <c:v>Предсказанное Прибыль, млн руб., Y</c:v>
                </c:pt>
              </c:strCache>
            </c:strRef>
          </c:tx>
          <c:spPr>
            <a:ln w="19050" cap="rnd" cmpd="sng" algn="ctr">
              <a:noFill/>
              <a:prstDash val="solid"/>
              <a:round/>
            </a:ln>
          </c:spPr>
          <c:dLbls>
            <c:delete val="1"/>
          </c:dLbls>
          <c:xVal>
            <c:numRef>
              <c:f>'Исходные данные 5'!$C$2:$C$31</c:f>
              <c:numCache>
                <c:formatCode>General</c:formatCode>
                <c:ptCount val="30"/>
                <c:pt idx="0">
                  <c:v>500</c:v>
                </c:pt>
                <c:pt idx="1">
                  <c:v>510</c:v>
                </c:pt>
                <c:pt idx="2">
                  <c:v>509</c:v>
                </c:pt>
                <c:pt idx="3">
                  <c:v>515</c:v>
                </c:pt>
                <c:pt idx="4">
                  <c:v>520</c:v>
                </c:pt>
                <c:pt idx="5">
                  <c:v>519</c:v>
                </c:pt>
                <c:pt idx="6">
                  <c:v>525</c:v>
                </c:pt>
                <c:pt idx="7">
                  <c:v>526</c:v>
                </c:pt>
                <c:pt idx="8">
                  <c:v>530</c:v>
                </c:pt>
                <c:pt idx="9">
                  <c:v>550</c:v>
                </c:pt>
                <c:pt idx="10">
                  <c:v>570</c:v>
                </c:pt>
                <c:pt idx="11">
                  <c:v>560</c:v>
                </c:pt>
                <c:pt idx="12">
                  <c:v>555</c:v>
                </c:pt>
                <c:pt idx="13">
                  <c:v>555</c:v>
                </c:pt>
                <c:pt idx="14">
                  <c:v>560</c:v>
                </c:pt>
                <c:pt idx="15">
                  <c:v>560</c:v>
                </c:pt>
                <c:pt idx="16">
                  <c:v>562</c:v>
                </c:pt>
                <c:pt idx="17">
                  <c:v>580</c:v>
                </c:pt>
                <c:pt idx="18">
                  <c:v>581</c:v>
                </c:pt>
                <c:pt idx="19">
                  <c:v>582</c:v>
                </c:pt>
                <c:pt idx="20">
                  <c:v>585</c:v>
                </c:pt>
                <c:pt idx="21">
                  <c:v>590</c:v>
                </c:pt>
                <c:pt idx="22">
                  <c:v>601</c:v>
                </c:pt>
                <c:pt idx="23">
                  <c:v>612</c:v>
                </c:pt>
                <c:pt idx="24">
                  <c:v>610</c:v>
                </c:pt>
                <c:pt idx="25">
                  <c:v>611</c:v>
                </c:pt>
                <c:pt idx="26">
                  <c:v>615</c:v>
                </c:pt>
                <c:pt idx="27">
                  <c:v>620</c:v>
                </c:pt>
                <c:pt idx="28">
                  <c:v>621</c:v>
                </c:pt>
                <c:pt idx="29">
                  <c:v>622</c:v>
                </c:pt>
              </c:numCache>
            </c:numRef>
          </c:xVal>
          <c:yVal>
            <c:numRef>
              <c:f>'Анализ данных 5'!$B$28:$B$57</c:f>
              <c:numCache>
                <c:formatCode>General</c:formatCode>
                <c:ptCount val="30"/>
                <c:pt idx="0">
                  <c:v>355.581998207338</c:v>
                </c:pt>
                <c:pt idx="1">
                  <c:v>398.202294593903</c:v>
                </c:pt>
                <c:pt idx="2">
                  <c:v>395.960064532562</c:v>
                </c:pt>
                <c:pt idx="3">
                  <c:v>427.21713054233</c:v>
                </c:pt>
                <c:pt idx="4">
                  <c:v>456.512998575104</c:v>
                </c:pt>
                <c:pt idx="5">
                  <c:v>447.4329304342</c:v>
                </c:pt>
                <c:pt idx="6">
                  <c:v>479.863955631712</c:v>
                </c:pt>
                <c:pt idx="7">
                  <c:v>482.313463938711</c:v>
                </c:pt>
                <c:pt idx="8">
                  <c:v>495.203115421012</c:v>
                </c:pt>
                <c:pt idx="9">
                  <c:v>575.438361381897</c:v>
                </c:pt>
                <c:pt idx="10">
                  <c:v>679.093551987381</c:v>
                </c:pt>
                <c:pt idx="11">
                  <c:v>630.247312540302</c:v>
                </c:pt>
                <c:pt idx="12">
                  <c:v>629.950100244705</c:v>
                </c:pt>
                <c:pt idx="13">
                  <c:v>631.019258306981</c:v>
                </c:pt>
                <c:pt idx="14">
                  <c:v>669.460878618516</c:v>
                </c:pt>
                <c:pt idx="15">
                  <c:v>671.966622759652</c:v>
                </c:pt>
                <c:pt idx="16">
                  <c:v>674.299028791954</c:v>
                </c:pt>
                <c:pt idx="17">
                  <c:v>760.629942026365</c:v>
                </c:pt>
                <c:pt idx="18">
                  <c:v>764.596290874434</c:v>
                </c:pt>
                <c:pt idx="19">
                  <c:v>758.482481921432</c:v>
                </c:pt>
                <c:pt idx="20">
                  <c:v>774.655835904418</c:v>
                </c:pt>
                <c:pt idx="21">
                  <c:v>799.486577006003</c:v>
                </c:pt>
                <c:pt idx="22">
                  <c:v>855.541125869166</c:v>
                </c:pt>
                <c:pt idx="23">
                  <c:v>912.031338792498</c:v>
                </c:pt>
                <c:pt idx="24">
                  <c:v>902.626208242603</c:v>
                </c:pt>
                <c:pt idx="25">
                  <c:v>921.494970968094</c:v>
                </c:pt>
                <c:pt idx="26">
                  <c:v>928.209114698306</c:v>
                </c:pt>
                <c:pt idx="27">
                  <c:v>937.120570976538</c:v>
                </c:pt>
                <c:pt idx="28">
                  <c:v>940.582169153153</c:v>
                </c:pt>
                <c:pt idx="29">
                  <c:v>953.780307058725</c:v>
                </c:pt>
              </c:numCache>
            </c:numRef>
          </c:yVal>
          <c:smooth val="0"/>
        </c:ser>
        <c:dLbls>
          <c:showLegendKey val="0"/>
          <c:showVal val="0"/>
          <c:showCatName val="0"/>
          <c:showSerName val="0"/>
          <c:showPercent val="0"/>
          <c:showBubbleSize val="0"/>
        </c:dLbls>
        <c:axId val="706895151"/>
        <c:axId val="1235779263"/>
      </c:scatterChart>
      <c:valAx>
        <c:axId val="706895151"/>
        <c:scaling>
          <c:orientation val="minMax"/>
        </c:scaling>
        <c:delete val="0"/>
        <c:axPos val="b"/>
        <c:title>
          <c:tx>
            <c:rich>
              <a:bodyPr rot="0" spcFirstLastPara="0" vertOverflow="ellipsis" vert="horz" wrap="square" anchor="ctr" anchorCtr="1"/>
              <a:lstStyle/>
              <a:p>
                <a:pPr>
                  <a:defRPr lang="ru-RU" sz="1000" b="1" i="0" u="none" strike="noStrike" kern="1200" baseline="0">
                    <a:solidFill>
                      <a:schemeClr val="tx1"/>
                    </a:solidFill>
                    <a:latin typeface="+mn-lt"/>
                    <a:ea typeface="+mn-ea"/>
                    <a:cs typeface="+mn-cs"/>
                  </a:defRPr>
                </a:pPr>
                <a:r>
                  <a:rPr lang="ru-RU"/>
                  <a:t>Среднесписочная численность работников, чел., </a:t>
                </a:r>
                <a:r>
                  <a:rPr lang="en-US"/>
                  <a:t>X2</a:t>
                </a:r>
                <a:endParaRPr lang="en-US"/>
              </a:p>
            </c:rich>
          </c:tx>
          <c:layout/>
          <c:overlay val="0"/>
        </c:title>
        <c:numFmt formatCode="General" sourceLinked="1"/>
        <c:majorTickMark val="out"/>
        <c:minorTickMark val="none"/>
        <c:tickLblPos val="nextTo"/>
        <c:txPr>
          <a:bodyPr rot="-60000000" spcFirstLastPara="0" vertOverflow="ellipsis" vert="horz" wrap="square" anchor="ctr" anchorCtr="1"/>
          <a:lstStyle/>
          <a:p>
            <a:pPr>
              <a:defRPr lang="ru-RU" sz="1000" b="0" i="0" u="none" strike="noStrike" kern="1200" baseline="0">
                <a:solidFill>
                  <a:schemeClr val="tx1"/>
                </a:solidFill>
                <a:latin typeface="+mn-lt"/>
                <a:ea typeface="+mn-ea"/>
                <a:cs typeface="+mn-cs"/>
              </a:defRPr>
            </a:pPr>
          </a:p>
        </c:txPr>
        <c:crossAx val="1235779263"/>
        <c:crosses val="autoZero"/>
        <c:crossBetween val="midCat"/>
      </c:valAx>
      <c:valAx>
        <c:axId val="1235779263"/>
        <c:scaling>
          <c:orientation val="minMax"/>
        </c:scaling>
        <c:delete val="0"/>
        <c:axPos val="l"/>
        <c:title>
          <c:tx>
            <c:rich>
              <a:bodyPr rot="-5400000" spcFirstLastPara="0" vertOverflow="ellipsis" vert="horz" wrap="square" anchor="ctr" anchorCtr="1"/>
              <a:lstStyle/>
              <a:p>
                <a:pPr>
                  <a:defRPr lang="ru-RU" sz="1000" b="1" i="0" u="none" strike="noStrike" kern="1200" baseline="0">
                    <a:solidFill>
                      <a:schemeClr val="tx1"/>
                    </a:solidFill>
                    <a:latin typeface="+mn-lt"/>
                    <a:ea typeface="+mn-ea"/>
                    <a:cs typeface="+mn-cs"/>
                  </a:defRPr>
                </a:pPr>
                <a:r>
                  <a:rPr lang="ru-RU"/>
                  <a:t>Прибыль, млн руб., </a:t>
                </a:r>
                <a:r>
                  <a:rPr lang="en-US"/>
                  <a:t>Y</a:t>
                </a:r>
                <a:endParaRPr lang="en-US"/>
              </a:p>
            </c:rich>
          </c:tx>
          <c:layout/>
          <c:overlay val="0"/>
        </c:title>
        <c:numFmt formatCode="General" sourceLinked="1"/>
        <c:majorTickMark val="out"/>
        <c:minorTickMark val="none"/>
        <c:tickLblPos val="nextTo"/>
        <c:txPr>
          <a:bodyPr rot="-60000000" spcFirstLastPara="0" vertOverflow="ellipsis" vert="horz" wrap="square" anchor="ctr" anchorCtr="1"/>
          <a:lstStyle/>
          <a:p>
            <a:pPr>
              <a:defRPr lang="ru-RU" sz="1000" b="0" i="0" u="none" strike="noStrike" kern="1200" baseline="0">
                <a:solidFill>
                  <a:schemeClr val="tx1"/>
                </a:solidFill>
                <a:latin typeface="+mn-lt"/>
                <a:ea typeface="+mn-ea"/>
                <a:cs typeface="+mn-cs"/>
              </a:defRPr>
            </a:pPr>
          </a:p>
        </c:txPr>
        <c:crossAx val="706895151"/>
        <c:crosses val="autoZero"/>
        <c:crossBetween val="midCat"/>
      </c:valAx>
    </c:plotArea>
    <c:legend>
      <c:legendPos val="r"/>
      <c:layout/>
      <c:overlay val="0"/>
      <c:txPr>
        <a:bodyPr rot="0" spcFirstLastPara="0" vertOverflow="ellipsis" vert="horz" wrap="square" anchor="ctr" anchorCtr="1"/>
        <a:lstStyle/>
        <a:p>
          <a:pPr>
            <a:defRPr lang="ru-RU" sz="1000" b="0" i="0" u="none" strike="noStrike" kern="1200" baseline="0">
              <a:solidFill>
                <a:schemeClr val="tx1"/>
              </a:solidFill>
              <a:latin typeface="+mn-lt"/>
              <a:ea typeface="+mn-ea"/>
              <a:cs typeface="+mn-cs"/>
            </a:defRPr>
          </a:pPr>
        </a:p>
      </c:txPr>
    </c:legend>
    <c:plotVisOnly val="1"/>
    <c:dispBlanksAs val="gap"/>
    <c:showDLblsOverMax val="0"/>
    <c:extLst>
      <c:ext uri="{0b15fc19-7d7d-44ad-8c2d-2c3a37ce22c3}">
        <chartProps xmlns="https://web.wps.cn/et/2018/main" chartId="{cf4aced8-763e-40e9-8163-ed18d6318664}"/>
      </c:ext>
    </c:extLst>
  </c:chart>
  <c:txPr>
    <a:bodyPr/>
    <a:lstStyle/>
    <a:p>
      <a:pPr>
        <a:defRPr lang="ru-RU"/>
      </a:pPr>
    </a:p>
  </c:txPr>
  <c:printSettings>
    <c:headerFooter/>
    <c:pageMargins b="0.75" l="0.7" r="0.7" t="0.75" header="0.3" footer="0.3"/>
    <c:pageSetup/>
  </c:printSettings>
</c:chartSpace>
</file>

<file path=xl/charts/chart45.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0" vertOverflow="ellipsis" vert="horz" wrap="square" anchor="ctr" anchorCtr="1"/>
          <a:lstStyle/>
          <a:p>
            <a:pPr>
              <a:defRPr lang="ru-RU" sz="1800" b="1" i="0" u="none" strike="noStrike" kern="1200" baseline="0">
                <a:solidFill>
                  <a:schemeClr val="tx1"/>
                </a:solidFill>
                <a:latin typeface="+mn-lt"/>
                <a:ea typeface="+mn-ea"/>
                <a:cs typeface="+mn-cs"/>
              </a:defRPr>
            </a:pPr>
            <a:r>
              <a:rPr lang="ru-RU"/>
              <a:t>Стоимость основных производственных фондов, млн руб., </a:t>
            </a:r>
            <a:r>
              <a:rPr lang="en-US"/>
              <a:t>X3 </a:t>
            </a:r>
            <a:r>
              <a:rPr lang="ru-RU"/>
              <a:t>График подбора</a:t>
            </a:r>
            <a:endParaRPr lang="ru-RU"/>
          </a:p>
        </c:rich>
      </c:tx>
      <c:layout/>
      <c:overlay val="0"/>
    </c:title>
    <c:autoTitleDeleted val="0"/>
    <c:plotArea>
      <c:layout/>
      <c:scatterChart>
        <c:scatterStyle val="marker"/>
        <c:varyColors val="0"/>
        <c:ser>
          <c:idx val="0"/>
          <c:order val="0"/>
          <c:tx>
            <c:strRef>
              <c:f>"Прибыль, млн руб., Y"</c:f>
              <c:strCache>
                <c:ptCount val="1"/>
                <c:pt idx="0">
                  <c:v>Прибыль, млн руб., Y</c:v>
                </c:pt>
              </c:strCache>
            </c:strRef>
          </c:tx>
          <c:spPr>
            <a:ln w="19050" cap="rnd" cmpd="sng" algn="ctr">
              <a:noFill/>
              <a:prstDash val="solid"/>
              <a:round/>
            </a:ln>
          </c:spPr>
          <c:dLbls>
            <c:delete val="1"/>
          </c:dLbls>
          <c:xVal>
            <c:numRef>
              <c:f>'Исходные данные 5'!$D$2:$D$31</c:f>
              <c:numCache>
                <c:formatCode>General</c:formatCode>
                <c:ptCount val="30"/>
                <c:pt idx="0">
                  <c:v>1340</c:v>
                </c:pt>
                <c:pt idx="1">
                  <c:v>1560</c:v>
                </c:pt>
                <c:pt idx="2">
                  <c:v>1590</c:v>
                </c:pt>
                <c:pt idx="3">
                  <c:v>1680</c:v>
                </c:pt>
                <c:pt idx="4">
                  <c:v>1450</c:v>
                </c:pt>
                <c:pt idx="5">
                  <c:v>1600</c:v>
                </c:pt>
                <c:pt idx="6">
                  <c:v>1200</c:v>
                </c:pt>
                <c:pt idx="7">
                  <c:v>1280</c:v>
                </c:pt>
                <c:pt idx="8">
                  <c:v>1560</c:v>
                </c:pt>
                <c:pt idx="9">
                  <c:v>1680</c:v>
                </c:pt>
                <c:pt idx="10">
                  <c:v>1780</c:v>
                </c:pt>
                <c:pt idx="11">
                  <c:v>1890</c:v>
                </c:pt>
                <c:pt idx="12">
                  <c:v>1580</c:v>
                </c:pt>
                <c:pt idx="13">
                  <c:v>1760</c:v>
                </c:pt>
                <c:pt idx="14">
                  <c:v>1340</c:v>
                </c:pt>
                <c:pt idx="15">
                  <c:v>1670</c:v>
                </c:pt>
                <c:pt idx="16">
                  <c:v>1350</c:v>
                </c:pt>
                <c:pt idx="17">
                  <c:v>1240</c:v>
                </c:pt>
                <c:pt idx="18">
                  <c:v>1450</c:v>
                </c:pt>
                <c:pt idx="19">
                  <c:v>1670</c:v>
                </c:pt>
                <c:pt idx="20">
                  <c:v>1280</c:v>
                </c:pt>
                <c:pt idx="21">
                  <c:v>1340</c:v>
                </c:pt>
                <c:pt idx="22">
                  <c:v>1450</c:v>
                </c:pt>
                <c:pt idx="23">
                  <c:v>1450</c:v>
                </c:pt>
                <c:pt idx="24">
                  <c:v>1670</c:v>
                </c:pt>
                <c:pt idx="25">
                  <c:v>1330</c:v>
                </c:pt>
                <c:pt idx="26">
                  <c:v>1560</c:v>
                </c:pt>
                <c:pt idx="27">
                  <c:v>1760</c:v>
                </c:pt>
                <c:pt idx="28">
                  <c:v>1650</c:v>
                </c:pt>
                <c:pt idx="29">
                  <c:v>1890</c:v>
                </c:pt>
              </c:numCache>
            </c:numRef>
          </c:xVal>
          <c:yVal>
            <c:numRef>
              <c:f>'Исходные данные 5'!$B$2:$B$31</c:f>
              <c:numCache>
                <c:formatCode>General</c:formatCode>
                <c:ptCount val="30"/>
                <c:pt idx="0">
                  <c:v>335</c:v>
                </c:pt>
                <c:pt idx="1">
                  <c:v>336</c:v>
                </c:pt>
                <c:pt idx="2">
                  <c:v>388</c:v>
                </c:pt>
                <c:pt idx="3">
                  <c:v>420</c:v>
                </c:pt>
                <c:pt idx="4">
                  <c:v>450</c:v>
                </c:pt>
                <c:pt idx="5">
                  <c:v>450</c:v>
                </c:pt>
                <c:pt idx="6">
                  <c:v>500</c:v>
                </c:pt>
                <c:pt idx="7">
                  <c:v>520</c:v>
                </c:pt>
                <c:pt idx="8">
                  <c:v>550</c:v>
                </c:pt>
                <c:pt idx="9">
                  <c:v>600</c:v>
                </c:pt>
                <c:pt idx="10">
                  <c:v>605</c:v>
                </c:pt>
                <c:pt idx="11">
                  <c:v>620</c:v>
                </c:pt>
                <c:pt idx="12">
                  <c:v>630</c:v>
                </c:pt>
                <c:pt idx="13">
                  <c:v>655</c:v>
                </c:pt>
                <c:pt idx="14">
                  <c:v>690</c:v>
                </c:pt>
                <c:pt idx="15">
                  <c:v>690</c:v>
                </c:pt>
                <c:pt idx="16">
                  <c:v>710</c:v>
                </c:pt>
                <c:pt idx="17">
                  <c:v>720</c:v>
                </c:pt>
                <c:pt idx="18">
                  <c:v>745</c:v>
                </c:pt>
                <c:pt idx="19">
                  <c:v>760</c:v>
                </c:pt>
                <c:pt idx="20">
                  <c:v>780</c:v>
                </c:pt>
                <c:pt idx="21">
                  <c:v>840</c:v>
                </c:pt>
                <c:pt idx="22">
                  <c:v>845</c:v>
                </c:pt>
                <c:pt idx="23">
                  <c:v>850</c:v>
                </c:pt>
                <c:pt idx="24">
                  <c:v>860</c:v>
                </c:pt>
                <c:pt idx="25">
                  <c:v>890</c:v>
                </c:pt>
                <c:pt idx="26">
                  <c:v>940</c:v>
                </c:pt>
                <c:pt idx="27">
                  <c:v>960</c:v>
                </c:pt>
                <c:pt idx="28">
                  <c:v>980</c:v>
                </c:pt>
                <c:pt idx="29">
                  <c:v>990</c:v>
                </c:pt>
              </c:numCache>
            </c:numRef>
          </c:yVal>
          <c:smooth val="0"/>
        </c:ser>
        <c:ser>
          <c:idx val="1"/>
          <c:order val="1"/>
          <c:tx>
            <c:strRef>
              <c:f>"Предсказанное Прибыль, млн руб., Y"</c:f>
              <c:strCache>
                <c:ptCount val="1"/>
                <c:pt idx="0">
                  <c:v>Предсказанное Прибыль, млн руб., Y</c:v>
                </c:pt>
              </c:strCache>
            </c:strRef>
          </c:tx>
          <c:spPr>
            <a:ln w="19050" cap="rnd" cmpd="sng" algn="ctr">
              <a:noFill/>
              <a:prstDash val="solid"/>
              <a:round/>
            </a:ln>
          </c:spPr>
          <c:dLbls>
            <c:delete val="1"/>
          </c:dLbls>
          <c:xVal>
            <c:numRef>
              <c:f>'Исходные данные 5'!$D$2:$D$31</c:f>
              <c:numCache>
                <c:formatCode>General</c:formatCode>
                <c:ptCount val="30"/>
                <c:pt idx="0">
                  <c:v>1340</c:v>
                </c:pt>
                <c:pt idx="1">
                  <c:v>1560</c:v>
                </c:pt>
                <c:pt idx="2">
                  <c:v>1590</c:v>
                </c:pt>
                <c:pt idx="3">
                  <c:v>1680</c:v>
                </c:pt>
                <c:pt idx="4">
                  <c:v>1450</c:v>
                </c:pt>
                <c:pt idx="5">
                  <c:v>1600</c:v>
                </c:pt>
                <c:pt idx="6">
                  <c:v>1200</c:v>
                </c:pt>
                <c:pt idx="7">
                  <c:v>1280</c:v>
                </c:pt>
                <c:pt idx="8">
                  <c:v>1560</c:v>
                </c:pt>
                <c:pt idx="9">
                  <c:v>1680</c:v>
                </c:pt>
                <c:pt idx="10">
                  <c:v>1780</c:v>
                </c:pt>
                <c:pt idx="11">
                  <c:v>1890</c:v>
                </c:pt>
                <c:pt idx="12">
                  <c:v>1580</c:v>
                </c:pt>
                <c:pt idx="13">
                  <c:v>1760</c:v>
                </c:pt>
                <c:pt idx="14">
                  <c:v>1340</c:v>
                </c:pt>
                <c:pt idx="15">
                  <c:v>1670</c:v>
                </c:pt>
                <c:pt idx="16">
                  <c:v>1350</c:v>
                </c:pt>
                <c:pt idx="17">
                  <c:v>1240</c:v>
                </c:pt>
                <c:pt idx="18">
                  <c:v>1450</c:v>
                </c:pt>
                <c:pt idx="19">
                  <c:v>1670</c:v>
                </c:pt>
                <c:pt idx="20">
                  <c:v>1280</c:v>
                </c:pt>
                <c:pt idx="21">
                  <c:v>1340</c:v>
                </c:pt>
                <c:pt idx="22">
                  <c:v>1450</c:v>
                </c:pt>
                <c:pt idx="23">
                  <c:v>1450</c:v>
                </c:pt>
                <c:pt idx="24">
                  <c:v>1670</c:v>
                </c:pt>
                <c:pt idx="25">
                  <c:v>1330</c:v>
                </c:pt>
                <c:pt idx="26">
                  <c:v>1560</c:v>
                </c:pt>
                <c:pt idx="27">
                  <c:v>1760</c:v>
                </c:pt>
                <c:pt idx="28">
                  <c:v>1650</c:v>
                </c:pt>
                <c:pt idx="29">
                  <c:v>1890</c:v>
                </c:pt>
              </c:numCache>
            </c:numRef>
          </c:xVal>
          <c:yVal>
            <c:numRef>
              <c:f>'Анализ данных 5'!$B$28:$B$57</c:f>
              <c:numCache>
                <c:formatCode>General</c:formatCode>
                <c:ptCount val="30"/>
                <c:pt idx="0">
                  <c:v>355.581998207338</c:v>
                </c:pt>
                <c:pt idx="1">
                  <c:v>398.202294593903</c:v>
                </c:pt>
                <c:pt idx="2">
                  <c:v>395.960064532562</c:v>
                </c:pt>
                <c:pt idx="3">
                  <c:v>427.21713054233</c:v>
                </c:pt>
                <c:pt idx="4">
                  <c:v>456.512998575104</c:v>
                </c:pt>
                <c:pt idx="5">
                  <c:v>447.4329304342</c:v>
                </c:pt>
                <c:pt idx="6">
                  <c:v>479.863955631712</c:v>
                </c:pt>
                <c:pt idx="7">
                  <c:v>482.313463938711</c:v>
                </c:pt>
                <c:pt idx="8">
                  <c:v>495.203115421012</c:v>
                </c:pt>
                <c:pt idx="9">
                  <c:v>575.438361381897</c:v>
                </c:pt>
                <c:pt idx="10">
                  <c:v>679.093551987381</c:v>
                </c:pt>
                <c:pt idx="11">
                  <c:v>630.247312540302</c:v>
                </c:pt>
                <c:pt idx="12">
                  <c:v>629.950100244705</c:v>
                </c:pt>
                <c:pt idx="13">
                  <c:v>631.019258306981</c:v>
                </c:pt>
                <c:pt idx="14">
                  <c:v>669.460878618516</c:v>
                </c:pt>
                <c:pt idx="15">
                  <c:v>671.966622759652</c:v>
                </c:pt>
                <c:pt idx="16">
                  <c:v>674.299028791954</c:v>
                </c:pt>
                <c:pt idx="17">
                  <c:v>760.629942026365</c:v>
                </c:pt>
                <c:pt idx="18">
                  <c:v>764.596290874434</c:v>
                </c:pt>
                <c:pt idx="19">
                  <c:v>758.482481921432</c:v>
                </c:pt>
                <c:pt idx="20">
                  <c:v>774.655835904418</c:v>
                </c:pt>
                <c:pt idx="21">
                  <c:v>799.486577006003</c:v>
                </c:pt>
                <c:pt idx="22">
                  <c:v>855.541125869166</c:v>
                </c:pt>
                <c:pt idx="23">
                  <c:v>912.031338792498</c:v>
                </c:pt>
                <c:pt idx="24">
                  <c:v>902.626208242603</c:v>
                </c:pt>
                <c:pt idx="25">
                  <c:v>921.494970968094</c:v>
                </c:pt>
                <c:pt idx="26">
                  <c:v>928.209114698306</c:v>
                </c:pt>
                <c:pt idx="27">
                  <c:v>937.120570976538</c:v>
                </c:pt>
                <c:pt idx="28">
                  <c:v>940.582169153153</c:v>
                </c:pt>
                <c:pt idx="29">
                  <c:v>953.780307058725</c:v>
                </c:pt>
              </c:numCache>
            </c:numRef>
          </c:yVal>
          <c:smooth val="0"/>
        </c:ser>
        <c:dLbls>
          <c:showLegendKey val="0"/>
          <c:showVal val="0"/>
          <c:showCatName val="0"/>
          <c:showSerName val="0"/>
          <c:showPercent val="0"/>
          <c:showBubbleSize val="0"/>
        </c:dLbls>
        <c:axId val="706895151"/>
        <c:axId val="1235771775"/>
      </c:scatterChart>
      <c:valAx>
        <c:axId val="706895151"/>
        <c:scaling>
          <c:orientation val="minMax"/>
        </c:scaling>
        <c:delete val="0"/>
        <c:axPos val="b"/>
        <c:title>
          <c:tx>
            <c:rich>
              <a:bodyPr rot="0" spcFirstLastPara="0" vertOverflow="ellipsis" vert="horz" wrap="square" anchor="ctr" anchorCtr="1"/>
              <a:lstStyle/>
              <a:p>
                <a:pPr>
                  <a:defRPr lang="ru-RU" sz="1000" b="1" i="0" u="none" strike="noStrike" kern="1200" baseline="0">
                    <a:solidFill>
                      <a:schemeClr val="tx1"/>
                    </a:solidFill>
                    <a:latin typeface="+mn-lt"/>
                    <a:ea typeface="+mn-ea"/>
                    <a:cs typeface="+mn-cs"/>
                  </a:defRPr>
                </a:pPr>
                <a:r>
                  <a:rPr lang="ru-RU"/>
                  <a:t>Стоимость основных производственных фондов, млн руб., </a:t>
                </a:r>
                <a:r>
                  <a:rPr lang="en-US"/>
                  <a:t>X3</a:t>
                </a:r>
                <a:endParaRPr lang="en-US"/>
              </a:p>
            </c:rich>
          </c:tx>
          <c:layout/>
          <c:overlay val="0"/>
        </c:title>
        <c:numFmt formatCode="General" sourceLinked="1"/>
        <c:majorTickMark val="out"/>
        <c:minorTickMark val="none"/>
        <c:tickLblPos val="nextTo"/>
        <c:txPr>
          <a:bodyPr rot="-60000000" spcFirstLastPara="0" vertOverflow="ellipsis" vert="horz" wrap="square" anchor="ctr" anchorCtr="1"/>
          <a:lstStyle/>
          <a:p>
            <a:pPr>
              <a:defRPr lang="ru-RU" sz="1000" b="0" i="0" u="none" strike="noStrike" kern="1200" baseline="0">
                <a:solidFill>
                  <a:schemeClr val="tx1"/>
                </a:solidFill>
                <a:latin typeface="+mn-lt"/>
                <a:ea typeface="+mn-ea"/>
                <a:cs typeface="+mn-cs"/>
              </a:defRPr>
            </a:pPr>
          </a:p>
        </c:txPr>
        <c:crossAx val="1235771775"/>
        <c:crosses val="autoZero"/>
        <c:crossBetween val="midCat"/>
      </c:valAx>
      <c:valAx>
        <c:axId val="1235771775"/>
        <c:scaling>
          <c:orientation val="minMax"/>
        </c:scaling>
        <c:delete val="0"/>
        <c:axPos val="l"/>
        <c:title>
          <c:tx>
            <c:rich>
              <a:bodyPr rot="-5400000" spcFirstLastPara="0" vertOverflow="ellipsis" vert="horz" wrap="square" anchor="ctr" anchorCtr="1"/>
              <a:lstStyle/>
              <a:p>
                <a:pPr>
                  <a:defRPr lang="ru-RU" sz="1000" b="1" i="0" u="none" strike="noStrike" kern="1200" baseline="0">
                    <a:solidFill>
                      <a:schemeClr val="tx1"/>
                    </a:solidFill>
                    <a:latin typeface="+mn-lt"/>
                    <a:ea typeface="+mn-ea"/>
                    <a:cs typeface="+mn-cs"/>
                  </a:defRPr>
                </a:pPr>
                <a:r>
                  <a:rPr lang="ru-RU"/>
                  <a:t>Прибыль, млн руб., </a:t>
                </a:r>
                <a:r>
                  <a:rPr lang="en-US"/>
                  <a:t>Y</a:t>
                </a:r>
                <a:endParaRPr lang="en-US"/>
              </a:p>
            </c:rich>
          </c:tx>
          <c:layout/>
          <c:overlay val="0"/>
        </c:title>
        <c:numFmt formatCode="General" sourceLinked="1"/>
        <c:majorTickMark val="out"/>
        <c:minorTickMark val="none"/>
        <c:tickLblPos val="nextTo"/>
        <c:txPr>
          <a:bodyPr rot="-60000000" spcFirstLastPara="0" vertOverflow="ellipsis" vert="horz" wrap="square" anchor="ctr" anchorCtr="1"/>
          <a:lstStyle/>
          <a:p>
            <a:pPr>
              <a:defRPr lang="ru-RU" sz="1000" b="0" i="0" u="none" strike="noStrike" kern="1200" baseline="0">
                <a:solidFill>
                  <a:schemeClr val="tx1"/>
                </a:solidFill>
                <a:latin typeface="+mn-lt"/>
                <a:ea typeface="+mn-ea"/>
                <a:cs typeface="+mn-cs"/>
              </a:defRPr>
            </a:pPr>
          </a:p>
        </c:txPr>
        <c:crossAx val="706895151"/>
        <c:crosses val="autoZero"/>
        <c:crossBetween val="midCat"/>
      </c:valAx>
    </c:plotArea>
    <c:legend>
      <c:legendPos val="r"/>
      <c:layout/>
      <c:overlay val="0"/>
      <c:txPr>
        <a:bodyPr rot="0" spcFirstLastPara="0" vertOverflow="ellipsis" vert="horz" wrap="square" anchor="ctr" anchorCtr="1"/>
        <a:lstStyle/>
        <a:p>
          <a:pPr>
            <a:defRPr lang="ru-RU" sz="1000" b="0" i="0" u="none" strike="noStrike" kern="1200" baseline="0">
              <a:solidFill>
                <a:schemeClr val="tx1"/>
              </a:solidFill>
              <a:latin typeface="+mn-lt"/>
              <a:ea typeface="+mn-ea"/>
              <a:cs typeface="+mn-cs"/>
            </a:defRPr>
          </a:pPr>
        </a:p>
      </c:txPr>
    </c:legend>
    <c:plotVisOnly val="1"/>
    <c:dispBlanksAs val="gap"/>
    <c:showDLblsOverMax val="0"/>
    <c:extLst>
      <c:ext uri="{0b15fc19-7d7d-44ad-8c2d-2c3a37ce22c3}">
        <chartProps xmlns="https://web.wps.cn/et/2018/main" chartId="{7cd940ba-2395-405d-b325-60e7a56580df}"/>
      </c:ext>
    </c:extLst>
  </c:chart>
  <c:txPr>
    <a:bodyPr/>
    <a:lstStyle/>
    <a:p>
      <a:pPr>
        <a:defRPr lang="ru-RU"/>
      </a:pPr>
    </a:p>
  </c:txPr>
  <c:printSettings>
    <c:headerFooter/>
    <c:pageMargins b="0.75" l="0.7" r="0.7" t="0.75" header="0.3" footer="0.3"/>
    <c:pageSetup/>
  </c:printSettings>
</c:chartSpace>
</file>

<file path=xl/charts/chart46.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0" vertOverflow="ellipsis" vert="horz" wrap="square" anchor="ctr" anchorCtr="1"/>
          <a:lstStyle/>
          <a:p>
            <a:pPr>
              <a:defRPr lang="ru-RU" sz="1800" b="1" i="0" u="none" strike="noStrike" kern="1200" baseline="0">
                <a:solidFill>
                  <a:schemeClr val="tx1"/>
                </a:solidFill>
                <a:latin typeface="+mn-lt"/>
                <a:ea typeface="+mn-ea"/>
                <a:cs typeface="+mn-cs"/>
              </a:defRPr>
            </a:pPr>
            <a:r>
              <a:rPr lang="ru-RU"/>
              <a:t>Индекс рыночных цен, в разах, </a:t>
            </a:r>
            <a:r>
              <a:rPr lang="en-US"/>
              <a:t>X8 </a:t>
            </a:r>
            <a:r>
              <a:rPr lang="ru-RU"/>
              <a:t>График подбора</a:t>
            </a:r>
            <a:endParaRPr lang="ru-RU"/>
          </a:p>
        </c:rich>
      </c:tx>
      <c:layout/>
      <c:overlay val="0"/>
    </c:title>
    <c:autoTitleDeleted val="0"/>
    <c:plotArea>
      <c:layout/>
      <c:scatterChart>
        <c:scatterStyle val="marker"/>
        <c:varyColors val="0"/>
        <c:ser>
          <c:idx val="0"/>
          <c:order val="0"/>
          <c:tx>
            <c:strRef>
              <c:f>"Прибыль, млн руб., Y"</c:f>
              <c:strCache>
                <c:ptCount val="1"/>
                <c:pt idx="0">
                  <c:v>Прибыль, млн руб., Y</c:v>
                </c:pt>
              </c:strCache>
            </c:strRef>
          </c:tx>
          <c:spPr>
            <a:ln w="19050" cap="rnd" cmpd="sng" algn="ctr">
              <a:noFill/>
              <a:prstDash val="solid"/>
              <a:round/>
            </a:ln>
          </c:spPr>
          <c:dLbls>
            <c:delete val="1"/>
          </c:dLbls>
          <c:xVal>
            <c:numRef>
              <c:f>'Исходные данные 5'!$E$2:$E$31</c:f>
              <c:numCache>
                <c:formatCode>General</c:formatCode>
                <c:ptCount val="30"/>
                <c:pt idx="0">
                  <c:v>1.02</c:v>
                </c:pt>
                <c:pt idx="1">
                  <c:v>1.03</c:v>
                </c:pt>
                <c:pt idx="2">
                  <c:v>1.02</c:v>
                </c:pt>
                <c:pt idx="3">
                  <c:v>1.04</c:v>
                </c:pt>
                <c:pt idx="4">
                  <c:v>1.03</c:v>
                </c:pt>
                <c:pt idx="5">
                  <c:v>1.03</c:v>
                </c:pt>
                <c:pt idx="6">
                  <c:v>1.04</c:v>
                </c:pt>
                <c:pt idx="7">
                  <c:v>1.05</c:v>
                </c:pt>
                <c:pt idx="8">
                  <c:v>1.07</c:v>
                </c:pt>
                <c:pt idx="9">
                  <c:v>1.2</c:v>
                </c:pt>
                <c:pt idx="10">
                  <c:v>1.25</c:v>
                </c:pt>
                <c:pt idx="11">
                  <c:v>1.28</c:v>
                </c:pt>
                <c:pt idx="12">
                  <c:v>1.32</c:v>
                </c:pt>
                <c:pt idx="13">
                  <c:v>1.35</c:v>
                </c:pt>
                <c:pt idx="14">
                  <c:v>1.32</c:v>
                </c:pt>
                <c:pt idx="15">
                  <c:v>1.32</c:v>
                </c:pt>
                <c:pt idx="16">
                  <c:v>1.45</c:v>
                </c:pt>
                <c:pt idx="17">
                  <c:v>1.48</c:v>
                </c:pt>
                <c:pt idx="18">
                  <c:v>1.31</c:v>
                </c:pt>
                <c:pt idx="19">
                  <c:v>1.22</c:v>
                </c:pt>
                <c:pt idx="20">
                  <c:v>1.15</c:v>
                </c:pt>
                <c:pt idx="21">
                  <c:v>1.11</c:v>
                </c:pt>
                <c:pt idx="22">
                  <c:v>1.08</c:v>
                </c:pt>
                <c:pt idx="23">
                  <c:v>1.06</c:v>
                </c:pt>
                <c:pt idx="24">
                  <c:v>1.06</c:v>
                </c:pt>
                <c:pt idx="25">
                  <c:v>1.05</c:v>
                </c:pt>
                <c:pt idx="26">
                  <c:v>1.05</c:v>
                </c:pt>
                <c:pt idx="27">
                  <c:v>1.03</c:v>
                </c:pt>
                <c:pt idx="28">
                  <c:v>1.04</c:v>
                </c:pt>
                <c:pt idx="29">
                  <c:v>1.05</c:v>
                </c:pt>
              </c:numCache>
            </c:numRef>
          </c:xVal>
          <c:yVal>
            <c:numRef>
              <c:f>'Исходные данные 5'!$B$2:$B$31</c:f>
              <c:numCache>
                <c:formatCode>General</c:formatCode>
                <c:ptCount val="30"/>
                <c:pt idx="0">
                  <c:v>335</c:v>
                </c:pt>
                <c:pt idx="1">
                  <c:v>336</c:v>
                </c:pt>
                <c:pt idx="2">
                  <c:v>388</c:v>
                </c:pt>
                <c:pt idx="3">
                  <c:v>420</c:v>
                </c:pt>
                <c:pt idx="4">
                  <c:v>450</c:v>
                </c:pt>
                <c:pt idx="5">
                  <c:v>450</c:v>
                </c:pt>
                <c:pt idx="6">
                  <c:v>500</c:v>
                </c:pt>
                <c:pt idx="7">
                  <c:v>520</c:v>
                </c:pt>
                <c:pt idx="8">
                  <c:v>550</c:v>
                </c:pt>
                <c:pt idx="9">
                  <c:v>600</c:v>
                </c:pt>
                <c:pt idx="10">
                  <c:v>605</c:v>
                </c:pt>
                <c:pt idx="11">
                  <c:v>620</c:v>
                </c:pt>
                <c:pt idx="12">
                  <c:v>630</c:v>
                </c:pt>
                <c:pt idx="13">
                  <c:v>655</c:v>
                </c:pt>
                <c:pt idx="14">
                  <c:v>690</c:v>
                </c:pt>
                <c:pt idx="15">
                  <c:v>690</c:v>
                </c:pt>
                <c:pt idx="16">
                  <c:v>710</c:v>
                </c:pt>
                <c:pt idx="17">
                  <c:v>720</c:v>
                </c:pt>
                <c:pt idx="18">
                  <c:v>745</c:v>
                </c:pt>
                <c:pt idx="19">
                  <c:v>760</c:v>
                </c:pt>
                <c:pt idx="20">
                  <c:v>780</c:v>
                </c:pt>
                <c:pt idx="21">
                  <c:v>840</c:v>
                </c:pt>
                <c:pt idx="22">
                  <c:v>845</c:v>
                </c:pt>
                <c:pt idx="23">
                  <c:v>850</c:v>
                </c:pt>
                <c:pt idx="24">
                  <c:v>860</c:v>
                </c:pt>
                <c:pt idx="25">
                  <c:v>890</c:v>
                </c:pt>
                <c:pt idx="26">
                  <c:v>940</c:v>
                </c:pt>
                <c:pt idx="27">
                  <c:v>960</c:v>
                </c:pt>
                <c:pt idx="28">
                  <c:v>980</c:v>
                </c:pt>
                <c:pt idx="29">
                  <c:v>990</c:v>
                </c:pt>
              </c:numCache>
            </c:numRef>
          </c:yVal>
          <c:smooth val="0"/>
        </c:ser>
        <c:ser>
          <c:idx val="1"/>
          <c:order val="1"/>
          <c:tx>
            <c:strRef>
              <c:f>"Предсказанное Прибыль, млн руб., Y"</c:f>
              <c:strCache>
                <c:ptCount val="1"/>
                <c:pt idx="0">
                  <c:v>Предсказанное Прибыль, млн руб., Y</c:v>
                </c:pt>
              </c:strCache>
            </c:strRef>
          </c:tx>
          <c:spPr>
            <a:ln w="19050" cap="rnd" cmpd="sng" algn="ctr">
              <a:noFill/>
              <a:prstDash val="solid"/>
              <a:round/>
            </a:ln>
          </c:spPr>
          <c:dLbls>
            <c:delete val="1"/>
          </c:dLbls>
          <c:xVal>
            <c:numRef>
              <c:f>'Исходные данные 5'!$E$2:$E$31</c:f>
              <c:numCache>
                <c:formatCode>General</c:formatCode>
                <c:ptCount val="30"/>
                <c:pt idx="0">
                  <c:v>1.02</c:v>
                </c:pt>
                <c:pt idx="1">
                  <c:v>1.03</c:v>
                </c:pt>
                <c:pt idx="2">
                  <c:v>1.02</c:v>
                </c:pt>
                <c:pt idx="3">
                  <c:v>1.04</c:v>
                </c:pt>
                <c:pt idx="4">
                  <c:v>1.03</c:v>
                </c:pt>
                <c:pt idx="5">
                  <c:v>1.03</c:v>
                </c:pt>
                <c:pt idx="6">
                  <c:v>1.04</c:v>
                </c:pt>
                <c:pt idx="7">
                  <c:v>1.05</c:v>
                </c:pt>
                <c:pt idx="8">
                  <c:v>1.07</c:v>
                </c:pt>
                <c:pt idx="9">
                  <c:v>1.2</c:v>
                </c:pt>
                <c:pt idx="10">
                  <c:v>1.25</c:v>
                </c:pt>
                <c:pt idx="11">
                  <c:v>1.28</c:v>
                </c:pt>
                <c:pt idx="12">
                  <c:v>1.32</c:v>
                </c:pt>
                <c:pt idx="13">
                  <c:v>1.35</c:v>
                </c:pt>
                <c:pt idx="14">
                  <c:v>1.32</c:v>
                </c:pt>
                <c:pt idx="15">
                  <c:v>1.32</c:v>
                </c:pt>
                <c:pt idx="16">
                  <c:v>1.45</c:v>
                </c:pt>
                <c:pt idx="17">
                  <c:v>1.48</c:v>
                </c:pt>
                <c:pt idx="18">
                  <c:v>1.31</c:v>
                </c:pt>
                <c:pt idx="19">
                  <c:v>1.22</c:v>
                </c:pt>
                <c:pt idx="20">
                  <c:v>1.15</c:v>
                </c:pt>
                <c:pt idx="21">
                  <c:v>1.11</c:v>
                </c:pt>
                <c:pt idx="22">
                  <c:v>1.08</c:v>
                </c:pt>
                <c:pt idx="23">
                  <c:v>1.06</c:v>
                </c:pt>
                <c:pt idx="24">
                  <c:v>1.06</c:v>
                </c:pt>
                <c:pt idx="25">
                  <c:v>1.05</c:v>
                </c:pt>
                <c:pt idx="26">
                  <c:v>1.05</c:v>
                </c:pt>
                <c:pt idx="27">
                  <c:v>1.03</c:v>
                </c:pt>
                <c:pt idx="28">
                  <c:v>1.04</c:v>
                </c:pt>
                <c:pt idx="29">
                  <c:v>1.05</c:v>
                </c:pt>
              </c:numCache>
            </c:numRef>
          </c:xVal>
          <c:yVal>
            <c:numRef>
              <c:f>'Анализ данных 5'!$B$28:$B$57</c:f>
              <c:numCache>
                <c:formatCode>General</c:formatCode>
                <c:ptCount val="30"/>
                <c:pt idx="0">
                  <c:v>355.581998207338</c:v>
                </c:pt>
                <c:pt idx="1">
                  <c:v>398.202294593903</c:v>
                </c:pt>
                <c:pt idx="2">
                  <c:v>395.960064532562</c:v>
                </c:pt>
                <c:pt idx="3">
                  <c:v>427.21713054233</c:v>
                </c:pt>
                <c:pt idx="4">
                  <c:v>456.512998575104</c:v>
                </c:pt>
                <c:pt idx="5">
                  <c:v>447.4329304342</c:v>
                </c:pt>
                <c:pt idx="6">
                  <c:v>479.863955631712</c:v>
                </c:pt>
                <c:pt idx="7">
                  <c:v>482.313463938711</c:v>
                </c:pt>
                <c:pt idx="8">
                  <c:v>495.203115421012</c:v>
                </c:pt>
                <c:pt idx="9">
                  <c:v>575.438361381897</c:v>
                </c:pt>
                <c:pt idx="10">
                  <c:v>679.093551987381</c:v>
                </c:pt>
                <c:pt idx="11">
                  <c:v>630.247312540302</c:v>
                </c:pt>
                <c:pt idx="12">
                  <c:v>629.950100244705</c:v>
                </c:pt>
                <c:pt idx="13">
                  <c:v>631.019258306981</c:v>
                </c:pt>
                <c:pt idx="14">
                  <c:v>669.460878618516</c:v>
                </c:pt>
                <c:pt idx="15">
                  <c:v>671.966622759652</c:v>
                </c:pt>
                <c:pt idx="16">
                  <c:v>674.299028791954</c:v>
                </c:pt>
                <c:pt idx="17">
                  <c:v>760.629942026365</c:v>
                </c:pt>
                <c:pt idx="18">
                  <c:v>764.596290874434</c:v>
                </c:pt>
                <c:pt idx="19">
                  <c:v>758.482481921432</c:v>
                </c:pt>
                <c:pt idx="20">
                  <c:v>774.655835904418</c:v>
                </c:pt>
                <c:pt idx="21">
                  <c:v>799.486577006003</c:v>
                </c:pt>
                <c:pt idx="22">
                  <c:v>855.541125869166</c:v>
                </c:pt>
                <c:pt idx="23">
                  <c:v>912.031338792498</c:v>
                </c:pt>
                <c:pt idx="24">
                  <c:v>902.626208242603</c:v>
                </c:pt>
                <c:pt idx="25">
                  <c:v>921.494970968094</c:v>
                </c:pt>
                <c:pt idx="26">
                  <c:v>928.209114698306</c:v>
                </c:pt>
                <c:pt idx="27">
                  <c:v>937.120570976538</c:v>
                </c:pt>
                <c:pt idx="28">
                  <c:v>940.582169153153</c:v>
                </c:pt>
                <c:pt idx="29">
                  <c:v>953.780307058725</c:v>
                </c:pt>
              </c:numCache>
            </c:numRef>
          </c:yVal>
          <c:smooth val="0"/>
        </c:ser>
        <c:dLbls>
          <c:showLegendKey val="0"/>
          <c:showVal val="0"/>
          <c:showCatName val="0"/>
          <c:showSerName val="0"/>
          <c:showPercent val="0"/>
          <c:showBubbleSize val="0"/>
        </c:dLbls>
        <c:axId val="1230779663"/>
        <c:axId val="1235765535"/>
      </c:scatterChart>
      <c:valAx>
        <c:axId val="1230779663"/>
        <c:scaling>
          <c:orientation val="minMax"/>
        </c:scaling>
        <c:delete val="0"/>
        <c:axPos val="b"/>
        <c:title>
          <c:tx>
            <c:rich>
              <a:bodyPr rot="0" spcFirstLastPara="0" vertOverflow="ellipsis" vert="horz" wrap="square" anchor="ctr" anchorCtr="1"/>
              <a:lstStyle/>
              <a:p>
                <a:pPr>
                  <a:defRPr lang="ru-RU" sz="1000" b="1" i="0" u="none" strike="noStrike" kern="1200" baseline="0">
                    <a:solidFill>
                      <a:schemeClr val="tx1"/>
                    </a:solidFill>
                    <a:latin typeface="+mn-lt"/>
                    <a:ea typeface="+mn-ea"/>
                    <a:cs typeface="+mn-cs"/>
                  </a:defRPr>
                </a:pPr>
                <a:r>
                  <a:rPr lang="ru-RU"/>
                  <a:t>Индекс рыночных цен, в разах, </a:t>
                </a:r>
                <a:r>
                  <a:rPr lang="en-US"/>
                  <a:t>X8</a:t>
                </a:r>
                <a:endParaRPr lang="en-US"/>
              </a:p>
            </c:rich>
          </c:tx>
          <c:layout/>
          <c:overlay val="0"/>
        </c:title>
        <c:numFmt formatCode="General" sourceLinked="1"/>
        <c:majorTickMark val="out"/>
        <c:minorTickMark val="none"/>
        <c:tickLblPos val="nextTo"/>
        <c:txPr>
          <a:bodyPr rot="-60000000" spcFirstLastPara="0" vertOverflow="ellipsis" vert="horz" wrap="square" anchor="ctr" anchorCtr="1"/>
          <a:lstStyle/>
          <a:p>
            <a:pPr>
              <a:defRPr lang="ru-RU" sz="1000" b="0" i="0" u="none" strike="noStrike" kern="1200" baseline="0">
                <a:solidFill>
                  <a:schemeClr val="tx1"/>
                </a:solidFill>
                <a:latin typeface="+mn-lt"/>
                <a:ea typeface="+mn-ea"/>
                <a:cs typeface="+mn-cs"/>
              </a:defRPr>
            </a:pPr>
          </a:p>
        </c:txPr>
        <c:crossAx val="1235765535"/>
        <c:crosses val="autoZero"/>
        <c:crossBetween val="midCat"/>
      </c:valAx>
      <c:valAx>
        <c:axId val="1235765535"/>
        <c:scaling>
          <c:orientation val="minMax"/>
        </c:scaling>
        <c:delete val="0"/>
        <c:axPos val="l"/>
        <c:title>
          <c:tx>
            <c:rich>
              <a:bodyPr rot="-5400000" spcFirstLastPara="0" vertOverflow="ellipsis" vert="horz" wrap="square" anchor="ctr" anchorCtr="1"/>
              <a:lstStyle/>
              <a:p>
                <a:pPr>
                  <a:defRPr lang="ru-RU" sz="1000" b="1" i="0" u="none" strike="noStrike" kern="1200" baseline="0">
                    <a:solidFill>
                      <a:schemeClr val="tx1"/>
                    </a:solidFill>
                    <a:latin typeface="+mn-lt"/>
                    <a:ea typeface="+mn-ea"/>
                    <a:cs typeface="+mn-cs"/>
                  </a:defRPr>
                </a:pPr>
                <a:r>
                  <a:rPr lang="ru-RU"/>
                  <a:t>Прибыль, млн руб., </a:t>
                </a:r>
                <a:r>
                  <a:rPr lang="en-US"/>
                  <a:t>Y</a:t>
                </a:r>
                <a:endParaRPr lang="en-US"/>
              </a:p>
            </c:rich>
          </c:tx>
          <c:layout/>
          <c:overlay val="0"/>
        </c:title>
        <c:numFmt formatCode="General" sourceLinked="1"/>
        <c:majorTickMark val="out"/>
        <c:minorTickMark val="none"/>
        <c:tickLblPos val="nextTo"/>
        <c:txPr>
          <a:bodyPr rot="-60000000" spcFirstLastPara="0" vertOverflow="ellipsis" vert="horz" wrap="square" anchor="ctr" anchorCtr="1"/>
          <a:lstStyle/>
          <a:p>
            <a:pPr>
              <a:defRPr lang="ru-RU" sz="1000" b="0" i="0" u="none" strike="noStrike" kern="1200" baseline="0">
                <a:solidFill>
                  <a:schemeClr val="tx1"/>
                </a:solidFill>
                <a:latin typeface="+mn-lt"/>
                <a:ea typeface="+mn-ea"/>
                <a:cs typeface="+mn-cs"/>
              </a:defRPr>
            </a:pPr>
          </a:p>
        </c:txPr>
        <c:crossAx val="1230779663"/>
        <c:crosses val="autoZero"/>
        <c:crossBetween val="midCat"/>
      </c:valAx>
    </c:plotArea>
    <c:legend>
      <c:legendPos val="r"/>
      <c:layout/>
      <c:overlay val="0"/>
      <c:txPr>
        <a:bodyPr rot="0" spcFirstLastPara="0" vertOverflow="ellipsis" vert="horz" wrap="square" anchor="ctr" anchorCtr="1"/>
        <a:lstStyle/>
        <a:p>
          <a:pPr>
            <a:defRPr lang="ru-RU" sz="1000" b="0" i="0" u="none" strike="noStrike" kern="1200" baseline="0">
              <a:solidFill>
                <a:schemeClr val="tx1"/>
              </a:solidFill>
              <a:latin typeface="+mn-lt"/>
              <a:ea typeface="+mn-ea"/>
              <a:cs typeface="+mn-cs"/>
            </a:defRPr>
          </a:pPr>
        </a:p>
      </c:txPr>
    </c:legend>
    <c:plotVisOnly val="1"/>
    <c:dispBlanksAs val="gap"/>
    <c:showDLblsOverMax val="0"/>
    <c:extLst>
      <c:ext uri="{0b15fc19-7d7d-44ad-8c2d-2c3a37ce22c3}">
        <chartProps xmlns="https://web.wps.cn/et/2018/main" chartId="{c3fa8041-2386-4a28-8615-7f47d2f246c8}"/>
      </c:ext>
    </c:extLst>
  </c:chart>
  <c:txPr>
    <a:bodyPr/>
    <a:lstStyle/>
    <a:p>
      <a:pPr>
        <a:defRPr lang="ru-RU"/>
      </a:pPr>
    </a:p>
  </c:txPr>
  <c:printSettings>
    <c:headerFooter/>
    <c:pageMargins b="0.75" l="0.7" r="0.7" t="0.75" header="0.3" footer="0.3"/>
    <c:pageSetup/>
  </c:printSettings>
</c:chartSpace>
</file>

<file path=xl/charts/chart47.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0" vertOverflow="ellipsis" vert="horz" wrap="square" anchor="ctr" anchorCtr="1"/>
          <a:lstStyle/>
          <a:p>
            <a:pPr>
              <a:defRPr lang="ru-RU" sz="1800" b="1" i="0" u="none" strike="noStrike" kern="1200" baseline="0">
                <a:solidFill>
                  <a:schemeClr val="tx1"/>
                </a:solidFill>
                <a:latin typeface="+mn-lt"/>
                <a:ea typeface="+mn-ea"/>
                <a:cs typeface="+mn-cs"/>
              </a:defRPr>
            </a:pPr>
            <a:r>
              <a:rPr lang="ru-RU"/>
              <a:t>Уровень использования производственных мощностей, %, </a:t>
            </a:r>
            <a:r>
              <a:rPr lang="en-US"/>
              <a:t>X9 </a:t>
            </a:r>
            <a:r>
              <a:rPr lang="ru-RU"/>
              <a:t>График подбора</a:t>
            </a:r>
            <a:endParaRPr lang="ru-RU"/>
          </a:p>
        </c:rich>
      </c:tx>
      <c:layout/>
      <c:overlay val="0"/>
    </c:title>
    <c:autoTitleDeleted val="0"/>
    <c:plotArea>
      <c:layout/>
      <c:scatterChart>
        <c:scatterStyle val="marker"/>
        <c:varyColors val="0"/>
        <c:ser>
          <c:idx val="0"/>
          <c:order val="0"/>
          <c:tx>
            <c:strRef>
              <c:f>"Прибыль, млн руб., Y"</c:f>
              <c:strCache>
                <c:ptCount val="1"/>
                <c:pt idx="0">
                  <c:v>Прибыль, млн руб., Y</c:v>
                </c:pt>
              </c:strCache>
            </c:strRef>
          </c:tx>
          <c:spPr>
            <a:ln w="19050" cap="rnd" cmpd="sng" algn="ctr">
              <a:noFill/>
              <a:prstDash val="solid"/>
              <a:round/>
            </a:ln>
          </c:spPr>
          <c:dLbls>
            <c:delete val="1"/>
          </c:dLbls>
          <c:xVal>
            <c:numRef>
              <c:f>'Исходные данные 5'!$F$2:$F$31</c:f>
              <c:numCache>
                <c:formatCode>General</c:formatCode>
                <c:ptCount val="30"/>
                <c:pt idx="0">
                  <c:v>96</c:v>
                </c:pt>
                <c:pt idx="1">
                  <c:v>97</c:v>
                </c:pt>
                <c:pt idx="2">
                  <c:v>96</c:v>
                </c:pt>
                <c:pt idx="3">
                  <c:v>93</c:v>
                </c:pt>
                <c:pt idx="4">
                  <c:v>93</c:v>
                </c:pt>
                <c:pt idx="5">
                  <c:v>94</c:v>
                </c:pt>
                <c:pt idx="6">
                  <c:v>95</c:v>
                </c:pt>
                <c:pt idx="7">
                  <c:v>95</c:v>
                </c:pt>
                <c:pt idx="8">
                  <c:v>95</c:v>
                </c:pt>
                <c:pt idx="9">
                  <c:v>95</c:v>
                </c:pt>
                <c:pt idx="10">
                  <c:v>88</c:v>
                </c:pt>
                <c:pt idx="11">
                  <c:v>85</c:v>
                </c:pt>
                <c:pt idx="12">
                  <c:v>72</c:v>
                </c:pt>
                <c:pt idx="13">
                  <c:v>68</c:v>
                </c:pt>
                <c:pt idx="14">
                  <c:v>66</c:v>
                </c:pt>
                <c:pt idx="15">
                  <c:v>62</c:v>
                </c:pt>
                <c:pt idx="16">
                  <c:v>60</c:v>
                </c:pt>
                <c:pt idx="17">
                  <c:v>60</c:v>
                </c:pt>
                <c:pt idx="18">
                  <c:v>70</c:v>
                </c:pt>
                <c:pt idx="19">
                  <c:v>80</c:v>
                </c:pt>
                <c:pt idx="20">
                  <c:v>87</c:v>
                </c:pt>
                <c:pt idx="21">
                  <c:v>89</c:v>
                </c:pt>
                <c:pt idx="22">
                  <c:v>89</c:v>
                </c:pt>
                <c:pt idx="23">
                  <c:v>89</c:v>
                </c:pt>
                <c:pt idx="24">
                  <c:v>87</c:v>
                </c:pt>
                <c:pt idx="25">
                  <c:v>83</c:v>
                </c:pt>
                <c:pt idx="26">
                  <c:v>88</c:v>
                </c:pt>
                <c:pt idx="27">
                  <c:v>96</c:v>
                </c:pt>
                <c:pt idx="28">
                  <c:v>97</c:v>
                </c:pt>
                <c:pt idx="29">
                  <c:v>90</c:v>
                </c:pt>
              </c:numCache>
            </c:numRef>
          </c:xVal>
          <c:yVal>
            <c:numRef>
              <c:f>'Исходные данные 5'!$B$2:$B$31</c:f>
              <c:numCache>
                <c:formatCode>General</c:formatCode>
                <c:ptCount val="30"/>
                <c:pt idx="0">
                  <c:v>335</c:v>
                </c:pt>
                <c:pt idx="1">
                  <c:v>336</c:v>
                </c:pt>
                <c:pt idx="2">
                  <c:v>388</c:v>
                </c:pt>
                <c:pt idx="3">
                  <c:v>420</c:v>
                </c:pt>
                <c:pt idx="4">
                  <c:v>450</c:v>
                </c:pt>
                <c:pt idx="5">
                  <c:v>450</c:v>
                </c:pt>
                <c:pt idx="6">
                  <c:v>500</c:v>
                </c:pt>
                <c:pt idx="7">
                  <c:v>520</c:v>
                </c:pt>
                <c:pt idx="8">
                  <c:v>550</c:v>
                </c:pt>
                <c:pt idx="9">
                  <c:v>600</c:v>
                </c:pt>
                <c:pt idx="10">
                  <c:v>605</c:v>
                </c:pt>
                <c:pt idx="11">
                  <c:v>620</c:v>
                </c:pt>
                <c:pt idx="12">
                  <c:v>630</c:v>
                </c:pt>
                <c:pt idx="13">
                  <c:v>655</c:v>
                </c:pt>
                <c:pt idx="14">
                  <c:v>690</c:v>
                </c:pt>
                <c:pt idx="15">
                  <c:v>690</c:v>
                </c:pt>
                <c:pt idx="16">
                  <c:v>710</c:v>
                </c:pt>
                <c:pt idx="17">
                  <c:v>720</c:v>
                </c:pt>
                <c:pt idx="18">
                  <c:v>745</c:v>
                </c:pt>
                <c:pt idx="19">
                  <c:v>760</c:v>
                </c:pt>
                <c:pt idx="20">
                  <c:v>780</c:v>
                </c:pt>
                <c:pt idx="21">
                  <c:v>840</c:v>
                </c:pt>
                <c:pt idx="22">
                  <c:v>845</c:v>
                </c:pt>
                <c:pt idx="23">
                  <c:v>850</c:v>
                </c:pt>
                <c:pt idx="24">
                  <c:v>860</c:v>
                </c:pt>
                <c:pt idx="25">
                  <c:v>890</c:v>
                </c:pt>
                <c:pt idx="26">
                  <c:v>940</c:v>
                </c:pt>
                <c:pt idx="27">
                  <c:v>960</c:v>
                </c:pt>
                <c:pt idx="28">
                  <c:v>980</c:v>
                </c:pt>
                <c:pt idx="29">
                  <c:v>990</c:v>
                </c:pt>
              </c:numCache>
            </c:numRef>
          </c:yVal>
          <c:smooth val="0"/>
        </c:ser>
        <c:ser>
          <c:idx val="1"/>
          <c:order val="1"/>
          <c:tx>
            <c:strRef>
              <c:f>"Предсказанное Прибыль, млн руб., Y"</c:f>
              <c:strCache>
                <c:ptCount val="1"/>
                <c:pt idx="0">
                  <c:v>Предсказанное Прибыль, млн руб., Y</c:v>
                </c:pt>
              </c:strCache>
            </c:strRef>
          </c:tx>
          <c:spPr>
            <a:ln w="19050" cap="rnd" cmpd="sng" algn="ctr">
              <a:noFill/>
              <a:prstDash val="solid"/>
              <a:round/>
            </a:ln>
          </c:spPr>
          <c:dLbls>
            <c:delete val="1"/>
          </c:dLbls>
          <c:xVal>
            <c:numRef>
              <c:f>'Исходные данные 5'!$F$2:$F$31</c:f>
              <c:numCache>
                <c:formatCode>General</c:formatCode>
                <c:ptCount val="30"/>
                <c:pt idx="0">
                  <c:v>96</c:v>
                </c:pt>
                <c:pt idx="1">
                  <c:v>97</c:v>
                </c:pt>
                <c:pt idx="2">
                  <c:v>96</c:v>
                </c:pt>
                <c:pt idx="3">
                  <c:v>93</c:v>
                </c:pt>
                <c:pt idx="4">
                  <c:v>93</c:v>
                </c:pt>
                <c:pt idx="5">
                  <c:v>94</c:v>
                </c:pt>
                <c:pt idx="6">
                  <c:v>95</c:v>
                </c:pt>
                <c:pt idx="7">
                  <c:v>95</c:v>
                </c:pt>
                <c:pt idx="8">
                  <c:v>95</c:v>
                </c:pt>
                <c:pt idx="9">
                  <c:v>95</c:v>
                </c:pt>
                <c:pt idx="10">
                  <c:v>88</c:v>
                </c:pt>
                <c:pt idx="11">
                  <c:v>85</c:v>
                </c:pt>
                <c:pt idx="12">
                  <c:v>72</c:v>
                </c:pt>
                <c:pt idx="13">
                  <c:v>68</c:v>
                </c:pt>
                <c:pt idx="14">
                  <c:v>66</c:v>
                </c:pt>
                <c:pt idx="15">
                  <c:v>62</c:v>
                </c:pt>
                <c:pt idx="16">
                  <c:v>60</c:v>
                </c:pt>
                <c:pt idx="17">
                  <c:v>60</c:v>
                </c:pt>
                <c:pt idx="18">
                  <c:v>70</c:v>
                </c:pt>
                <c:pt idx="19">
                  <c:v>80</c:v>
                </c:pt>
                <c:pt idx="20">
                  <c:v>87</c:v>
                </c:pt>
                <c:pt idx="21">
                  <c:v>89</c:v>
                </c:pt>
                <c:pt idx="22">
                  <c:v>89</c:v>
                </c:pt>
                <c:pt idx="23">
                  <c:v>89</c:v>
                </c:pt>
                <c:pt idx="24">
                  <c:v>87</c:v>
                </c:pt>
                <c:pt idx="25">
                  <c:v>83</c:v>
                </c:pt>
                <c:pt idx="26">
                  <c:v>88</c:v>
                </c:pt>
                <c:pt idx="27">
                  <c:v>96</c:v>
                </c:pt>
                <c:pt idx="28">
                  <c:v>97</c:v>
                </c:pt>
                <c:pt idx="29">
                  <c:v>90</c:v>
                </c:pt>
              </c:numCache>
            </c:numRef>
          </c:xVal>
          <c:yVal>
            <c:numRef>
              <c:f>'Анализ данных 5'!$B$28:$B$57</c:f>
              <c:numCache>
                <c:formatCode>General</c:formatCode>
                <c:ptCount val="30"/>
                <c:pt idx="0">
                  <c:v>355.581998207338</c:v>
                </c:pt>
                <c:pt idx="1">
                  <c:v>398.202294593903</c:v>
                </c:pt>
                <c:pt idx="2">
                  <c:v>395.960064532562</c:v>
                </c:pt>
                <c:pt idx="3">
                  <c:v>427.21713054233</c:v>
                </c:pt>
                <c:pt idx="4">
                  <c:v>456.512998575104</c:v>
                </c:pt>
                <c:pt idx="5">
                  <c:v>447.4329304342</c:v>
                </c:pt>
                <c:pt idx="6">
                  <c:v>479.863955631712</c:v>
                </c:pt>
                <c:pt idx="7">
                  <c:v>482.313463938711</c:v>
                </c:pt>
                <c:pt idx="8">
                  <c:v>495.203115421012</c:v>
                </c:pt>
                <c:pt idx="9">
                  <c:v>575.438361381897</c:v>
                </c:pt>
                <c:pt idx="10">
                  <c:v>679.093551987381</c:v>
                </c:pt>
                <c:pt idx="11">
                  <c:v>630.247312540302</c:v>
                </c:pt>
                <c:pt idx="12">
                  <c:v>629.950100244705</c:v>
                </c:pt>
                <c:pt idx="13">
                  <c:v>631.019258306981</c:v>
                </c:pt>
                <c:pt idx="14">
                  <c:v>669.460878618516</c:v>
                </c:pt>
                <c:pt idx="15">
                  <c:v>671.966622759652</c:v>
                </c:pt>
                <c:pt idx="16">
                  <c:v>674.299028791954</c:v>
                </c:pt>
                <c:pt idx="17">
                  <c:v>760.629942026365</c:v>
                </c:pt>
                <c:pt idx="18">
                  <c:v>764.596290874434</c:v>
                </c:pt>
                <c:pt idx="19">
                  <c:v>758.482481921432</c:v>
                </c:pt>
                <c:pt idx="20">
                  <c:v>774.655835904418</c:v>
                </c:pt>
                <c:pt idx="21">
                  <c:v>799.486577006003</c:v>
                </c:pt>
                <c:pt idx="22">
                  <c:v>855.541125869166</c:v>
                </c:pt>
                <c:pt idx="23">
                  <c:v>912.031338792498</c:v>
                </c:pt>
                <c:pt idx="24">
                  <c:v>902.626208242603</c:v>
                </c:pt>
                <c:pt idx="25">
                  <c:v>921.494970968094</c:v>
                </c:pt>
                <c:pt idx="26">
                  <c:v>928.209114698306</c:v>
                </c:pt>
                <c:pt idx="27">
                  <c:v>937.120570976538</c:v>
                </c:pt>
                <c:pt idx="28">
                  <c:v>940.582169153153</c:v>
                </c:pt>
                <c:pt idx="29">
                  <c:v>953.780307058725</c:v>
                </c:pt>
              </c:numCache>
            </c:numRef>
          </c:yVal>
          <c:smooth val="0"/>
        </c:ser>
        <c:dLbls>
          <c:showLegendKey val="0"/>
          <c:showVal val="0"/>
          <c:showCatName val="0"/>
          <c:showSerName val="0"/>
          <c:showPercent val="0"/>
          <c:showBubbleSize val="0"/>
        </c:dLbls>
        <c:axId val="1388876671"/>
        <c:axId val="1235770943"/>
      </c:scatterChart>
      <c:valAx>
        <c:axId val="1388876671"/>
        <c:scaling>
          <c:orientation val="minMax"/>
        </c:scaling>
        <c:delete val="0"/>
        <c:axPos val="b"/>
        <c:title>
          <c:tx>
            <c:rich>
              <a:bodyPr rot="0" spcFirstLastPara="0" vertOverflow="ellipsis" vert="horz" wrap="square" anchor="ctr" anchorCtr="1"/>
              <a:lstStyle/>
              <a:p>
                <a:pPr>
                  <a:defRPr lang="ru-RU" sz="1000" b="1" i="0" u="none" strike="noStrike" kern="1200" baseline="0">
                    <a:solidFill>
                      <a:schemeClr val="tx1"/>
                    </a:solidFill>
                    <a:latin typeface="+mn-lt"/>
                    <a:ea typeface="+mn-ea"/>
                    <a:cs typeface="+mn-cs"/>
                  </a:defRPr>
                </a:pPr>
                <a:r>
                  <a:rPr lang="ru-RU"/>
                  <a:t>Уровень использования производственных мощностей, %, </a:t>
                </a:r>
                <a:r>
                  <a:rPr lang="en-US"/>
                  <a:t>X9</a:t>
                </a:r>
                <a:endParaRPr lang="en-US"/>
              </a:p>
            </c:rich>
          </c:tx>
          <c:layout/>
          <c:overlay val="0"/>
        </c:title>
        <c:numFmt formatCode="General" sourceLinked="1"/>
        <c:majorTickMark val="out"/>
        <c:minorTickMark val="none"/>
        <c:tickLblPos val="nextTo"/>
        <c:txPr>
          <a:bodyPr rot="-60000000" spcFirstLastPara="0" vertOverflow="ellipsis" vert="horz" wrap="square" anchor="ctr" anchorCtr="1"/>
          <a:lstStyle/>
          <a:p>
            <a:pPr>
              <a:defRPr lang="ru-RU" sz="1000" b="0" i="0" u="none" strike="noStrike" kern="1200" baseline="0">
                <a:solidFill>
                  <a:schemeClr val="tx1"/>
                </a:solidFill>
                <a:latin typeface="+mn-lt"/>
                <a:ea typeface="+mn-ea"/>
                <a:cs typeface="+mn-cs"/>
              </a:defRPr>
            </a:pPr>
          </a:p>
        </c:txPr>
        <c:crossAx val="1235770943"/>
        <c:crosses val="autoZero"/>
        <c:crossBetween val="midCat"/>
      </c:valAx>
      <c:valAx>
        <c:axId val="1235770943"/>
        <c:scaling>
          <c:orientation val="minMax"/>
        </c:scaling>
        <c:delete val="0"/>
        <c:axPos val="l"/>
        <c:title>
          <c:tx>
            <c:rich>
              <a:bodyPr rot="-5400000" spcFirstLastPara="0" vertOverflow="ellipsis" vert="horz" wrap="square" anchor="ctr" anchorCtr="1"/>
              <a:lstStyle/>
              <a:p>
                <a:pPr>
                  <a:defRPr lang="ru-RU" sz="1000" b="1" i="0" u="none" strike="noStrike" kern="1200" baseline="0">
                    <a:solidFill>
                      <a:schemeClr val="tx1"/>
                    </a:solidFill>
                    <a:latin typeface="+mn-lt"/>
                    <a:ea typeface="+mn-ea"/>
                    <a:cs typeface="+mn-cs"/>
                  </a:defRPr>
                </a:pPr>
                <a:r>
                  <a:rPr lang="ru-RU"/>
                  <a:t>Прибыль, млн руб., </a:t>
                </a:r>
                <a:r>
                  <a:rPr lang="en-US"/>
                  <a:t>Y</a:t>
                </a:r>
                <a:endParaRPr lang="en-US"/>
              </a:p>
            </c:rich>
          </c:tx>
          <c:layout/>
          <c:overlay val="0"/>
        </c:title>
        <c:numFmt formatCode="General" sourceLinked="1"/>
        <c:majorTickMark val="out"/>
        <c:minorTickMark val="none"/>
        <c:tickLblPos val="nextTo"/>
        <c:txPr>
          <a:bodyPr rot="-60000000" spcFirstLastPara="0" vertOverflow="ellipsis" vert="horz" wrap="square" anchor="ctr" anchorCtr="1"/>
          <a:lstStyle/>
          <a:p>
            <a:pPr>
              <a:defRPr lang="ru-RU" sz="1000" b="0" i="0" u="none" strike="noStrike" kern="1200" baseline="0">
                <a:solidFill>
                  <a:schemeClr val="tx1"/>
                </a:solidFill>
                <a:latin typeface="+mn-lt"/>
                <a:ea typeface="+mn-ea"/>
                <a:cs typeface="+mn-cs"/>
              </a:defRPr>
            </a:pPr>
          </a:p>
        </c:txPr>
        <c:crossAx val="1388876671"/>
        <c:crosses val="autoZero"/>
        <c:crossBetween val="midCat"/>
      </c:valAx>
    </c:plotArea>
    <c:legend>
      <c:legendPos val="r"/>
      <c:layout/>
      <c:overlay val="0"/>
      <c:txPr>
        <a:bodyPr rot="0" spcFirstLastPara="0" vertOverflow="ellipsis" vert="horz" wrap="square" anchor="ctr" anchorCtr="1"/>
        <a:lstStyle/>
        <a:p>
          <a:pPr>
            <a:defRPr lang="ru-RU" sz="1000" b="0" i="0" u="none" strike="noStrike" kern="1200" baseline="0">
              <a:solidFill>
                <a:schemeClr val="tx1"/>
              </a:solidFill>
              <a:latin typeface="+mn-lt"/>
              <a:ea typeface="+mn-ea"/>
              <a:cs typeface="+mn-cs"/>
            </a:defRPr>
          </a:pPr>
        </a:p>
      </c:txPr>
    </c:legend>
    <c:plotVisOnly val="1"/>
    <c:dispBlanksAs val="gap"/>
    <c:showDLblsOverMax val="0"/>
    <c:extLst>
      <c:ext uri="{0b15fc19-7d7d-44ad-8c2d-2c3a37ce22c3}">
        <chartProps xmlns="https://web.wps.cn/et/2018/main" chartId="{f2b5f0c9-8c69-42a9-afcf-4c60d6524e1f}"/>
      </c:ext>
    </c:extLst>
  </c:chart>
  <c:txPr>
    <a:bodyPr/>
    <a:lstStyle/>
    <a:p>
      <a:pPr>
        <a:defRPr lang="ru-RU"/>
      </a:pPr>
    </a:p>
  </c:txPr>
  <c:printSettings>
    <c:headerFooter/>
    <c:pageMargins b="0.75" l="0.7" r="0.7" t="0.75" header="0.3" footer="0.3"/>
    <c:pageSetup/>
  </c:printSettings>
</c:chartSpace>
</file>

<file path=xl/charts/chart48.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0" vertOverflow="ellipsis" vert="horz" wrap="square" anchor="ctr" anchorCtr="1"/>
          <a:lstStyle/>
          <a:p>
            <a:pPr>
              <a:defRPr lang="ru-RU" sz="1800" b="1" i="0" u="none" strike="noStrike" kern="1200" baseline="0">
                <a:solidFill>
                  <a:schemeClr val="tx1"/>
                </a:solidFill>
                <a:latin typeface="+mn-lt"/>
                <a:ea typeface="+mn-ea"/>
                <a:cs typeface="+mn-cs"/>
              </a:defRPr>
            </a:pPr>
            <a:r>
              <a:rPr lang="ru-RU"/>
              <a:t>График нормального распределения</a:t>
            </a:r>
            <a:endParaRPr lang="ru-RU"/>
          </a:p>
        </c:rich>
      </c:tx>
      <c:layout/>
      <c:overlay val="0"/>
    </c:title>
    <c:autoTitleDeleted val="0"/>
    <c:plotArea>
      <c:layout/>
      <c:scatterChart>
        <c:scatterStyle val="marker"/>
        <c:varyColors val="0"/>
        <c:ser>
          <c:idx val="0"/>
          <c:order val="0"/>
          <c:spPr>
            <a:ln w="19050" cap="rnd" cmpd="sng" algn="ctr">
              <a:noFill/>
              <a:prstDash val="solid"/>
              <a:round/>
            </a:ln>
          </c:spPr>
          <c:dLbls>
            <c:delete val="1"/>
          </c:dLbls>
          <c:xVal>
            <c:numRef>
              <c:f>'Анализ данных 5'!$F$28:$F$57</c:f>
              <c:numCache>
                <c:formatCode>General</c:formatCode>
                <c:ptCount val="30"/>
                <c:pt idx="0">
                  <c:v>1.66666666666667</c:v>
                </c:pt>
                <c:pt idx="1">
                  <c:v>5</c:v>
                </c:pt>
                <c:pt idx="2">
                  <c:v>8.33333333333333</c:v>
                </c:pt>
                <c:pt idx="3">
                  <c:v>11.6666666666667</c:v>
                </c:pt>
                <c:pt idx="4">
                  <c:v>15</c:v>
                </c:pt>
                <c:pt idx="5">
                  <c:v>18.3333333333333</c:v>
                </c:pt>
                <c:pt idx="6">
                  <c:v>21.6666666666667</c:v>
                </c:pt>
                <c:pt idx="7">
                  <c:v>25</c:v>
                </c:pt>
                <c:pt idx="8">
                  <c:v>28.3333333333333</c:v>
                </c:pt>
                <c:pt idx="9">
                  <c:v>31.6666666666667</c:v>
                </c:pt>
                <c:pt idx="10">
                  <c:v>35</c:v>
                </c:pt>
                <c:pt idx="11">
                  <c:v>38.3333333333333</c:v>
                </c:pt>
                <c:pt idx="12">
                  <c:v>41.6666666666667</c:v>
                </c:pt>
                <c:pt idx="13">
                  <c:v>45</c:v>
                </c:pt>
                <c:pt idx="14">
                  <c:v>48.3333333333333</c:v>
                </c:pt>
                <c:pt idx="15">
                  <c:v>51.6666666666667</c:v>
                </c:pt>
                <c:pt idx="16">
                  <c:v>55</c:v>
                </c:pt>
                <c:pt idx="17">
                  <c:v>58.3333333333333</c:v>
                </c:pt>
                <c:pt idx="18">
                  <c:v>61.6666666666667</c:v>
                </c:pt>
                <c:pt idx="19">
                  <c:v>65</c:v>
                </c:pt>
                <c:pt idx="20">
                  <c:v>68.3333333333333</c:v>
                </c:pt>
                <c:pt idx="21">
                  <c:v>71.6666666666667</c:v>
                </c:pt>
                <c:pt idx="22">
                  <c:v>75</c:v>
                </c:pt>
                <c:pt idx="23">
                  <c:v>78.3333333333333</c:v>
                </c:pt>
                <c:pt idx="24">
                  <c:v>81.6666666666667</c:v>
                </c:pt>
                <c:pt idx="25">
                  <c:v>85</c:v>
                </c:pt>
                <c:pt idx="26">
                  <c:v>88.3333333333333</c:v>
                </c:pt>
                <c:pt idx="27">
                  <c:v>91.6666666666667</c:v>
                </c:pt>
                <c:pt idx="28">
                  <c:v>95</c:v>
                </c:pt>
                <c:pt idx="29">
                  <c:v>98.3333333333333</c:v>
                </c:pt>
              </c:numCache>
            </c:numRef>
          </c:xVal>
          <c:yVal>
            <c:numRef>
              <c:f>'Анализ данных 5'!$G$28:$G$57</c:f>
              <c:numCache>
                <c:formatCode>General</c:formatCode>
                <c:ptCount val="30"/>
                <c:pt idx="0">
                  <c:v>335</c:v>
                </c:pt>
                <c:pt idx="1">
                  <c:v>336</c:v>
                </c:pt>
                <c:pt idx="2">
                  <c:v>388</c:v>
                </c:pt>
                <c:pt idx="3">
                  <c:v>420</c:v>
                </c:pt>
                <c:pt idx="4">
                  <c:v>450</c:v>
                </c:pt>
                <c:pt idx="5">
                  <c:v>450</c:v>
                </c:pt>
                <c:pt idx="6">
                  <c:v>500</c:v>
                </c:pt>
                <c:pt idx="7">
                  <c:v>520</c:v>
                </c:pt>
                <c:pt idx="8">
                  <c:v>550</c:v>
                </c:pt>
                <c:pt idx="9">
                  <c:v>600</c:v>
                </c:pt>
                <c:pt idx="10">
                  <c:v>605</c:v>
                </c:pt>
                <c:pt idx="11">
                  <c:v>620</c:v>
                </c:pt>
                <c:pt idx="12">
                  <c:v>630</c:v>
                </c:pt>
                <c:pt idx="13">
                  <c:v>655</c:v>
                </c:pt>
                <c:pt idx="14">
                  <c:v>690</c:v>
                </c:pt>
                <c:pt idx="15">
                  <c:v>690</c:v>
                </c:pt>
                <c:pt idx="16">
                  <c:v>710</c:v>
                </c:pt>
                <c:pt idx="17">
                  <c:v>720</c:v>
                </c:pt>
                <c:pt idx="18">
                  <c:v>745</c:v>
                </c:pt>
                <c:pt idx="19">
                  <c:v>760</c:v>
                </c:pt>
                <c:pt idx="20">
                  <c:v>780</c:v>
                </c:pt>
                <c:pt idx="21">
                  <c:v>840</c:v>
                </c:pt>
                <c:pt idx="22">
                  <c:v>845</c:v>
                </c:pt>
                <c:pt idx="23">
                  <c:v>850</c:v>
                </c:pt>
                <c:pt idx="24">
                  <c:v>860</c:v>
                </c:pt>
                <c:pt idx="25">
                  <c:v>890</c:v>
                </c:pt>
                <c:pt idx="26">
                  <c:v>940</c:v>
                </c:pt>
                <c:pt idx="27">
                  <c:v>960</c:v>
                </c:pt>
                <c:pt idx="28">
                  <c:v>980</c:v>
                </c:pt>
                <c:pt idx="29">
                  <c:v>990</c:v>
                </c:pt>
              </c:numCache>
            </c:numRef>
          </c:yVal>
          <c:smooth val="0"/>
        </c:ser>
        <c:dLbls>
          <c:showLegendKey val="0"/>
          <c:showVal val="0"/>
          <c:showCatName val="0"/>
          <c:showSerName val="0"/>
          <c:showPercent val="0"/>
          <c:showBubbleSize val="0"/>
        </c:dLbls>
        <c:axId val="1388873871"/>
        <c:axId val="1235772191"/>
      </c:scatterChart>
      <c:valAx>
        <c:axId val="1388873871"/>
        <c:scaling>
          <c:orientation val="minMax"/>
        </c:scaling>
        <c:delete val="0"/>
        <c:axPos val="b"/>
        <c:title>
          <c:tx>
            <c:rich>
              <a:bodyPr rot="0" spcFirstLastPara="0" vertOverflow="ellipsis" vert="horz" wrap="square" anchor="ctr" anchorCtr="1"/>
              <a:lstStyle/>
              <a:p>
                <a:pPr>
                  <a:defRPr lang="ru-RU" sz="1000" b="1" i="0" u="none" strike="noStrike" kern="1200" baseline="0">
                    <a:solidFill>
                      <a:schemeClr val="tx1"/>
                    </a:solidFill>
                    <a:latin typeface="+mn-lt"/>
                    <a:ea typeface="+mn-ea"/>
                    <a:cs typeface="+mn-cs"/>
                  </a:defRPr>
                </a:pPr>
                <a:r>
                  <a:rPr lang="ru-RU"/>
                  <a:t>Персентиль выборки</a:t>
                </a:r>
                <a:endParaRPr lang="ru-RU"/>
              </a:p>
            </c:rich>
          </c:tx>
          <c:layout/>
          <c:overlay val="0"/>
        </c:title>
        <c:numFmt formatCode="General" sourceLinked="1"/>
        <c:majorTickMark val="out"/>
        <c:minorTickMark val="none"/>
        <c:tickLblPos val="nextTo"/>
        <c:txPr>
          <a:bodyPr rot="-60000000" spcFirstLastPara="0" vertOverflow="ellipsis" vert="horz" wrap="square" anchor="ctr" anchorCtr="1"/>
          <a:lstStyle/>
          <a:p>
            <a:pPr>
              <a:defRPr lang="ru-RU" sz="1000" b="0" i="0" u="none" strike="noStrike" kern="1200" baseline="0">
                <a:solidFill>
                  <a:schemeClr val="tx1"/>
                </a:solidFill>
                <a:latin typeface="+mn-lt"/>
                <a:ea typeface="+mn-ea"/>
                <a:cs typeface="+mn-cs"/>
              </a:defRPr>
            </a:pPr>
          </a:p>
        </c:txPr>
        <c:crossAx val="1235772191"/>
        <c:crosses val="autoZero"/>
        <c:crossBetween val="midCat"/>
      </c:valAx>
      <c:valAx>
        <c:axId val="1235772191"/>
        <c:scaling>
          <c:orientation val="minMax"/>
        </c:scaling>
        <c:delete val="0"/>
        <c:axPos val="l"/>
        <c:title>
          <c:tx>
            <c:rich>
              <a:bodyPr rot="-5400000" spcFirstLastPara="0" vertOverflow="ellipsis" vert="horz" wrap="square" anchor="ctr" anchorCtr="1"/>
              <a:lstStyle/>
              <a:p>
                <a:pPr>
                  <a:defRPr lang="ru-RU" sz="1000" b="1" i="0" u="none" strike="noStrike" kern="1200" baseline="0">
                    <a:solidFill>
                      <a:schemeClr val="tx1"/>
                    </a:solidFill>
                    <a:latin typeface="+mn-lt"/>
                    <a:ea typeface="+mn-ea"/>
                    <a:cs typeface="+mn-cs"/>
                  </a:defRPr>
                </a:pPr>
                <a:r>
                  <a:rPr lang="ru-RU"/>
                  <a:t>Прибыль, млн руб., </a:t>
                </a:r>
                <a:r>
                  <a:rPr lang="en-US"/>
                  <a:t>Y</a:t>
                </a:r>
                <a:endParaRPr lang="en-US"/>
              </a:p>
            </c:rich>
          </c:tx>
          <c:layout/>
          <c:overlay val="0"/>
        </c:title>
        <c:numFmt formatCode="General" sourceLinked="1"/>
        <c:majorTickMark val="out"/>
        <c:minorTickMark val="none"/>
        <c:tickLblPos val="nextTo"/>
        <c:txPr>
          <a:bodyPr rot="-60000000" spcFirstLastPara="0" vertOverflow="ellipsis" vert="horz" wrap="square" anchor="ctr" anchorCtr="1"/>
          <a:lstStyle/>
          <a:p>
            <a:pPr>
              <a:defRPr lang="ru-RU" sz="1000" b="0" i="0" u="none" strike="noStrike" kern="1200" baseline="0">
                <a:solidFill>
                  <a:schemeClr val="tx1"/>
                </a:solidFill>
                <a:latin typeface="+mn-lt"/>
                <a:ea typeface="+mn-ea"/>
                <a:cs typeface="+mn-cs"/>
              </a:defRPr>
            </a:pPr>
          </a:p>
        </c:txPr>
        <c:crossAx val="1388873871"/>
        <c:crosses val="autoZero"/>
        <c:crossBetween val="midCat"/>
      </c:valAx>
    </c:plotArea>
    <c:plotVisOnly val="1"/>
    <c:dispBlanksAs val="gap"/>
    <c:showDLblsOverMax val="0"/>
    <c:extLst>
      <c:ext uri="{0b15fc19-7d7d-44ad-8c2d-2c3a37ce22c3}">
        <chartProps xmlns="https://web.wps.cn/et/2018/main" chartId="{94c6a3b4-d7b2-4f26-9d80-fc5ffc0f7d1b}"/>
      </c:ext>
    </c:extLst>
  </c:chart>
  <c:txPr>
    <a:bodyPr/>
    <a:lstStyle/>
    <a:p>
      <a:pPr>
        <a:defRPr lang="ru-RU"/>
      </a:pPr>
    </a:p>
  </c:txPr>
  <c:printSettings>
    <c:headerFooter/>
    <c:pageMargins b="0.75" l="0.7" r="0.7" t="0.75" header="0.3" footer="0.3"/>
    <c:pageSetup/>
  </c:printSettings>
</c:chartSpace>
</file>

<file path=xl/charts/chart49.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0" vertOverflow="ellipsis" vert="horz" wrap="square" anchor="ctr" anchorCtr="1"/>
          <a:lstStyle/>
          <a:p>
            <a:pPr>
              <a:defRPr lang="ru-RU" sz="1800" b="1" i="0" u="none" strike="noStrike" kern="1200" baseline="0">
                <a:solidFill>
                  <a:schemeClr val="tx1"/>
                </a:solidFill>
                <a:latin typeface="+mn-lt"/>
                <a:ea typeface="+mn-ea"/>
                <a:cs typeface="+mn-cs"/>
              </a:defRPr>
            </a:pPr>
            <a:r>
              <a:rPr lang="ru-RU"/>
              <a:t>Среднесписочная численность работников, чел., </a:t>
            </a:r>
            <a:r>
              <a:rPr lang="en-US"/>
              <a:t>X2 </a:t>
            </a:r>
            <a:r>
              <a:rPr lang="ru-RU"/>
              <a:t>График остатков</a:t>
            </a:r>
            <a:endParaRPr lang="ru-RU"/>
          </a:p>
        </c:rich>
      </c:tx>
      <c:layout/>
      <c:overlay val="0"/>
    </c:title>
    <c:autoTitleDeleted val="0"/>
    <c:plotArea>
      <c:layout/>
      <c:scatterChart>
        <c:scatterStyle val="marker"/>
        <c:varyColors val="0"/>
        <c:ser>
          <c:idx val="0"/>
          <c:order val="0"/>
          <c:spPr>
            <a:ln w="19050" cap="rnd" cmpd="sng" algn="ctr">
              <a:noFill/>
              <a:prstDash val="solid"/>
              <a:round/>
            </a:ln>
          </c:spPr>
          <c:dLbls>
            <c:delete val="1"/>
          </c:dLbls>
          <c:xVal>
            <c:numRef>
              <c:f>'Исходные данные 6'!$C$2:$C$31</c:f>
              <c:numCache>
                <c:formatCode>General</c:formatCode>
                <c:ptCount val="30"/>
                <c:pt idx="0">
                  <c:v>500</c:v>
                </c:pt>
                <c:pt idx="1">
                  <c:v>510</c:v>
                </c:pt>
                <c:pt idx="2">
                  <c:v>509</c:v>
                </c:pt>
                <c:pt idx="3">
                  <c:v>515</c:v>
                </c:pt>
                <c:pt idx="4">
                  <c:v>520</c:v>
                </c:pt>
                <c:pt idx="5">
                  <c:v>519</c:v>
                </c:pt>
                <c:pt idx="6">
                  <c:v>525</c:v>
                </c:pt>
                <c:pt idx="7">
                  <c:v>526</c:v>
                </c:pt>
                <c:pt idx="8">
                  <c:v>530</c:v>
                </c:pt>
                <c:pt idx="9">
                  <c:v>550</c:v>
                </c:pt>
                <c:pt idx="10">
                  <c:v>570</c:v>
                </c:pt>
                <c:pt idx="11">
                  <c:v>560</c:v>
                </c:pt>
                <c:pt idx="12">
                  <c:v>555</c:v>
                </c:pt>
                <c:pt idx="13">
                  <c:v>555</c:v>
                </c:pt>
                <c:pt idx="14">
                  <c:v>560</c:v>
                </c:pt>
                <c:pt idx="15">
                  <c:v>560</c:v>
                </c:pt>
                <c:pt idx="16">
                  <c:v>562</c:v>
                </c:pt>
                <c:pt idx="17">
                  <c:v>580</c:v>
                </c:pt>
                <c:pt idx="18">
                  <c:v>581</c:v>
                </c:pt>
                <c:pt idx="19">
                  <c:v>582</c:v>
                </c:pt>
                <c:pt idx="20">
                  <c:v>585</c:v>
                </c:pt>
                <c:pt idx="21">
                  <c:v>590</c:v>
                </c:pt>
                <c:pt idx="22">
                  <c:v>601</c:v>
                </c:pt>
                <c:pt idx="23">
                  <c:v>612</c:v>
                </c:pt>
                <c:pt idx="24">
                  <c:v>610</c:v>
                </c:pt>
                <c:pt idx="25">
                  <c:v>611</c:v>
                </c:pt>
                <c:pt idx="26">
                  <c:v>615</c:v>
                </c:pt>
                <c:pt idx="27">
                  <c:v>620</c:v>
                </c:pt>
                <c:pt idx="28">
                  <c:v>621</c:v>
                </c:pt>
                <c:pt idx="29">
                  <c:v>622</c:v>
                </c:pt>
              </c:numCache>
            </c:numRef>
          </c:xVal>
          <c:yVal>
            <c:numRef>
              <c:f>'Анализ данных 6'!$C$27:$C$56</c:f>
              <c:numCache>
                <c:formatCode>General</c:formatCode>
                <c:ptCount val="30"/>
                <c:pt idx="0">
                  <c:v>-18.1216118842644</c:v>
                </c:pt>
                <c:pt idx="1">
                  <c:v>-60.3925773962113</c:v>
                </c:pt>
                <c:pt idx="2">
                  <c:v>-3.14335044010005</c:v>
                </c:pt>
                <c:pt idx="3">
                  <c:v>-0.0518212737200656</c:v>
                </c:pt>
                <c:pt idx="4">
                  <c:v>-0.964454535903542</c:v>
                </c:pt>
                <c:pt idx="5">
                  <c:v>8.48668524029233</c:v>
                </c:pt>
                <c:pt idx="6">
                  <c:v>18.6095536601705</c:v>
                </c:pt>
                <c:pt idx="7">
                  <c:v>35.7707712333782</c:v>
                </c:pt>
                <c:pt idx="8">
                  <c:v>53.3541354228303</c:v>
                </c:pt>
                <c:pt idx="9">
                  <c:v>7.30276106195652</c:v>
                </c:pt>
                <c:pt idx="10">
                  <c:v>-87.8402471354208</c:v>
                </c:pt>
                <c:pt idx="11">
                  <c:v>-21.8292507805426</c:v>
                </c:pt>
                <c:pt idx="12">
                  <c:v>-1.86001422863228</c:v>
                </c:pt>
                <c:pt idx="13">
                  <c:v>25.8819742166806</c:v>
                </c:pt>
                <c:pt idx="14">
                  <c:v>23.9097924534998</c:v>
                </c:pt>
                <c:pt idx="15">
                  <c:v>30.6324287864844</c:v>
                </c:pt>
                <c:pt idx="16">
                  <c:v>31.1993961824035</c:v>
                </c:pt>
                <c:pt idx="17">
                  <c:v>-51.0320490057996</c:v>
                </c:pt>
                <c:pt idx="18">
                  <c:v>-20.333964046876</c:v>
                </c:pt>
                <c:pt idx="19">
                  <c:v>0.62949743789261</c:v>
                </c:pt>
                <c:pt idx="20">
                  <c:v>-1.04469018589225</c:v>
                </c:pt>
                <c:pt idx="21">
                  <c:v>36.7559903113704</c:v>
                </c:pt>
                <c:pt idx="22">
                  <c:v>-9.90460887339361</c:v>
                </c:pt>
                <c:pt idx="23">
                  <c:v>-59.4843498424499</c:v>
                </c:pt>
                <c:pt idx="24">
                  <c:v>-34.7398715167099</c:v>
                </c:pt>
                <c:pt idx="25">
                  <c:v>-20.7592570488769</c:v>
                </c:pt>
                <c:pt idx="26">
                  <c:v>18.040710786218</c:v>
                </c:pt>
                <c:pt idx="27">
                  <c:v>22.6088461751481</c:v>
                </c:pt>
                <c:pt idx="28">
                  <c:v>35.236607012278</c:v>
                </c:pt>
                <c:pt idx="29">
                  <c:v>43.0829682141888</c:v>
                </c:pt>
              </c:numCache>
            </c:numRef>
          </c:yVal>
          <c:smooth val="0"/>
        </c:ser>
        <c:dLbls>
          <c:showLegendKey val="0"/>
          <c:showVal val="0"/>
          <c:showCatName val="0"/>
          <c:showSerName val="0"/>
          <c:showPercent val="0"/>
          <c:showBubbleSize val="0"/>
        </c:dLbls>
        <c:axId val="1303962495"/>
        <c:axId val="1395140463"/>
      </c:scatterChart>
      <c:valAx>
        <c:axId val="1303962495"/>
        <c:scaling>
          <c:orientation val="minMax"/>
        </c:scaling>
        <c:delete val="0"/>
        <c:axPos val="b"/>
        <c:title>
          <c:tx>
            <c:rich>
              <a:bodyPr rot="0" spcFirstLastPara="0" vertOverflow="ellipsis" vert="horz" wrap="square" anchor="ctr" anchorCtr="1"/>
              <a:lstStyle/>
              <a:p>
                <a:pPr>
                  <a:defRPr lang="ru-RU" sz="1000" b="1" i="0" u="none" strike="noStrike" kern="1200" baseline="0">
                    <a:solidFill>
                      <a:schemeClr val="tx1"/>
                    </a:solidFill>
                    <a:latin typeface="+mn-lt"/>
                    <a:ea typeface="+mn-ea"/>
                    <a:cs typeface="+mn-cs"/>
                  </a:defRPr>
                </a:pPr>
                <a:r>
                  <a:rPr lang="ru-RU"/>
                  <a:t>Среднесписочная численность работников, чел., </a:t>
                </a:r>
                <a:r>
                  <a:rPr lang="en-US"/>
                  <a:t>X2</a:t>
                </a:r>
                <a:endParaRPr lang="en-US"/>
              </a:p>
            </c:rich>
          </c:tx>
          <c:layout/>
          <c:overlay val="0"/>
        </c:title>
        <c:numFmt formatCode="General" sourceLinked="1"/>
        <c:majorTickMark val="out"/>
        <c:minorTickMark val="none"/>
        <c:tickLblPos val="nextTo"/>
        <c:txPr>
          <a:bodyPr rot="-60000000" spcFirstLastPara="0" vertOverflow="ellipsis" vert="horz" wrap="square" anchor="ctr" anchorCtr="1"/>
          <a:lstStyle/>
          <a:p>
            <a:pPr>
              <a:defRPr lang="ru-RU" sz="1000" b="0" i="0" u="none" strike="noStrike" kern="1200" baseline="0">
                <a:solidFill>
                  <a:schemeClr val="tx1"/>
                </a:solidFill>
                <a:latin typeface="+mn-lt"/>
                <a:ea typeface="+mn-ea"/>
                <a:cs typeface="+mn-cs"/>
              </a:defRPr>
            </a:pPr>
          </a:p>
        </c:txPr>
        <c:crossAx val="1395140463"/>
        <c:crosses val="autoZero"/>
        <c:crossBetween val="midCat"/>
      </c:valAx>
      <c:valAx>
        <c:axId val="1395140463"/>
        <c:scaling>
          <c:orientation val="minMax"/>
        </c:scaling>
        <c:delete val="0"/>
        <c:axPos val="l"/>
        <c:title>
          <c:tx>
            <c:rich>
              <a:bodyPr rot="-5400000" spcFirstLastPara="0" vertOverflow="ellipsis" vert="horz" wrap="square" anchor="ctr" anchorCtr="1"/>
              <a:lstStyle/>
              <a:p>
                <a:pPr>
                  <a:defRPr lang="ru-RU" sz="1000" b="1" i="0" u="none" strike="noStrike" kern="1200" baseline="0">
                    <a:solidFill>
                      <a:schemeClr val="tx1"/>
                    </a:solidFill>
                    <a:latin typeface="+mn-lt"/>
                    <a:ea typeface="+mn-ea"/>
                    <a:cs typeface="+mn-cs"/>
                  </a:defRPr>
                </a:pPr>
                <a:r>
                  <a:rPr lang="ru-RU"/>
                  <a:t>Остатки</a:t>
                </a:r>
                <a:endParaRPr lang="ru-RU"/>
              </a:p>
            </c:rich>
          </c:tx>
          <c:layout/>
          <c:overlay val="0"/>
        </c:title>
        <c:numFmt formatCode="General" sourceLinked="1"/>
        <c:majorTickMark val="out"/>
        <c:minorTickMark val="none"/>
        <c:tickLblPos val="nextTo"/>
        <c:txPr>
          <a:bodyPr rot="-60000000" spcFirstLastPara="0" vertOverflow="ellipsis" vert="horz" wrap="square" anchor="ctr" anchorCtr="1"/>
          <a:lstStyle/>
          <a:p>
            <a:pPr>
              <a:defRPr lang="ru-RU" sz="1000" b="0" i="0" u="none" strike="noStrike" kern="1200" baseline="0">
                <a:solidFill>
                  <a:schemeClr val="tx1"/>
                </a:solidFill>
                <a:latin typeface="+mn-lt"/>
                <a:ea typeface="+mn-ea"/>
                <a:cs typeface="+mn-cs"/>
              </a:defRPr>
            </a:pPr>
          </a:p>
        </c:txPr>
        <c:crossAx val="1303962495"/>
        <c:crosses val="autoZero"/>
        <c:crossBetween val="midCat"/>
      </c:valAx>
    </c:plotArea>
    <c:plotVisOnly val="1"/>
    <c:dispBlanksAs val="gap"/>
    <c:showDLblsOverMax val="0"/>
    <c:extLst>
      <c:ext uri="{0b15fc19-7d7d-44ad-8c2d-2c3a37ce22c3}">
        <chartProps xmlns="https://web.wps.cn/et/2018/main" chartId="{442facbe-5a25-4493-8276-e9883fc8a9ff}"/>
      </c:ext>
    </c:extLst>
  </c:chart>
  <c:txPr>
    <a:bodyPr/>
    <a:lstStyle/>
    <a:p>
      <a:pPr>
        <a:defRPr lang="ru-RU"/>
      </a:pPr>
    </a:p>
  </c:txPr>
  <c:printSettings>
    <c:headerFooter/>
    <c:pageMargins b="0.75" l="0.7" r="0.7" t="0.75" header="0.3" footer="0.3"/>
    <c:pageSetup/>
  </c:printSettings>
</c:chartSpace>
</file>

<file path=xl/charts/chart50.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0" vertOverflow="ellipsis" vert="horz" wrap="square" anchor="ctr" anchorCtr="1"/>
          <a:lstStyle/>
          <a:p>
            <a:pPr>
              <a:defRPr lang="ru-RU" sz="1800" b="1" i="0" u="none" strike="noStrike" kern="1200" baseline="0">
                <a:solidFill>
                  <a:schemeClr val="tx1"/>
                </a:solidFill>
                <a:latin typeface="+mn-lt"/>
                <a:ea typeface="+mn-ea"/>
                <a:cs typeface="+mn-cs"/>
              </a:defRPr>
            </a:pPr>
            <a:r>
              <a:rPr lang="ru-RU"/>
              <a:t>Стоимость основных производственных фондов, млн руб., </a:t>
            </a:r>
            <a:r>
              <a:rPr lang="en-US"/>
              <a:t>X3 </a:t>
            </a:r>
            <a:r>
              <a:rPr lang="ru-RU"/>
              <a:t>График остатков</a:t>
            </a:r>
            <a:endParaRPr lang="ru-RU"/>
          </a:p>
        </c:rich>
      </c:tx>
      <c:layout/>
      <c:overlay val="0"/>
    </c:title>
    <c:autoTitleDeleted val="0"/>
    <c:plotArea>
      <c:layout/>
      <c:scatterChart>
        <c:scatterStyle val="marker"/>
        <c:varyColors val="0"/>
        <c:ser>
          <c:idx val="0"/>
          <c:order val="0"/>
          <c:spPr>
            <a:ln w="19050" cap="rnd" cmpd="sng" algn="ctr">
              <a:noFill/>
              <a:prstDash val="solid"/>
              <a:round/>
            </a:ln>
          </c:spPr>
          <c:dLbls>
            <c:delete val="1"/>
          </c:dLbls>
          <c:xVal>
            <c:numRef>
              <c:f>'Исходные данные 6'!$D$2:$D$31</c:f>
              <c:numCache>
                <c:formatCode>General</c:formatCode>
                <c:ptCount val="30"/>
                <c:pt idx="0">
                  <c:v>1340</c:v>
                </c:pt>
                <c:pt idx="1">
                  <c:v>1560</c:v>
                </c:pt>
                <c:pt idx="2">
                  <c:v>1590</c:v>
                </c:pt>
                <c:pt idx="3">
                  <c:v>1680</c:v>
                </c:pt>
                <c:pt idx="4">
                  <c:v>1450</c:v>
                </c:pt>
                <c:pt idx="5">
                  <c:v>1600</c:v>
                </c:pt>
                <c:pt idx="6">
                  <c:v>1200</c:v>
                </c:pt>
                <c:pt idx="7">
                  <c:v>1280</c:v>
                </c:pt>
                <c:pt idx="8">
                  <c:v>1560</c:v>
                </c:pt>
                <c:pt idx="9">
                  <c:v>1680</c:v>
                </c:pt>
                <c:pt idx="10">
                  <c:v>1780</c:v>
                </c:pt>
                <c:pt idx="11">
                  <c:v>1890</c:v>
                </c:pt>
                <c:pt idx="12">
                  <c:v>1580</c:v>
                </c:pt>
                <c:pt idx="13">
                  <c:v>1760</c:v>
                </c:pt>
                <c:pt idx="14">
                  <c:v>1340</c:v>
                </c:pt>
                <c:pt idx="15">
                  <c:v>1670</c:v>
                </c:pt>
                <c:pt idx="16">
                  <c:v>1350</c:v>
                </c:pt>
                <c:pt idx="17">
                  <c:v>1240</c:v>
                </c:pt>
                <c:pt idx="18">
                  <c:v>1450</c:v>
                </c:pt>
                <c:pt idx="19">
                  <c:v>1670</c:v>
                </c:pt>
                <c:pt idx="20">
                  <c:v>1280</c:v>
                </c:pt>
                <c:pt idx="21">
                  <c:v>1340</c:v>
                </c:pt>
                <c:pt idx="22">
                  <c:v>1450</c:v>
                </c:pt>
                <c:pt idx="23">
                  <c:v>1450</c:v>
                </c:pt>
                <c:pt idx="24">
                  <c:v>1670</c:v>
                </c:pt>
                <c:pt idx="25">
                  <c:v>1330</c:v>
                </c:pt>
                <c:pt idx="26">
                  <c:v>1560</c:v>
                </c:pt>
                <c:pt idx="27">
                  <c:v>1760</c:v>
                </c:pt>
                <c:pt idx="28">
                  <c:v>1650</c:v>
                </c:pt>
                <c:pt idx="29">
                  <c:v>1890</c:v>
                </c:pt>
              </c:numCache>
            </c:numRef>
          </c:xVal>
          <c:yVal>
            <c:numRef>
              <c:f>'Анализ данных 6'!$C$27:$C$56</c:f>
              <c:numCache>
                <c:formatCode>General</c:formatCode>
                <c:ptCount val="30"/>
                <c:pt idx="0">
                  <c:v>-18.1216118842644</c:v>
                </c:pt>
                <c:pt idx="1">
                  <c:v>-60.3925773962113</c:v>
                </c:pt>
                <c:pt idx="2">
                  <c:v>-3.14335044010005</c:v>
                </c:pt>
                <c:pt idx="3">
                  <c:v>-0.0518212737200656</c:v>
                </c:pt>
                <c:pt idx="4">
                  <c:v>-0.964454535903542</c:v>
                </c:pt>
                <c:pt idx="5">
                  <c:v>8.48668524029233</c:v>
                </c:pt>
                <c:pt idx="6">
                  <c:v>18.6095536601705</c:v>
                </c:pt>
                <c:pt idx="7">
                  <c:v>35.7707712333782</c:v>
                </c:pt>
                <c:pt idx="8">
                  <c:v>53.3541354228303</c:v>
                </c:pt>
                <c:pt idx="9">
                  <c:v>7.30276106195652</c:v>
                </c:pt>
                <c:pt idx="10">
                  <c:v>-87.8402471354208</c:v>
                </c:pt>
                <c:pt idx="11">
                  <c:v>-21.8292507805426</c:v>
                </c:pt>
                <c:pt idx="12">
                  <c:v>-1.86001422863228</c:v>
                </c:pt>
                <c:pt idx="13">
                  <c:v>25.8819742166806</c:v>
                </c:pt>
                <c:pt idx="14">
                  <c:v>23.9097924534998</c:v>
                </c:pt>
                <c:pt idx="15">
                  <c:v>30.6324287864844</c:v>
                </c:pt>
                <c:pt idx="16">
                  <c:v>31.1993961824035</c:v>
                </c:pt>
                <c:pt idx="17">
                  <c:v>-51.0320490057996</c:v>
                </c:pt>
                <c:pt idx="18">
                  <c:v>-20.333964046876</c:v>
                </c:pt>
                <c:pt idx="19">
                  <c:v>0.62949743789261</c:v>
                </c:pt>
                <c:pt idx="20">
                  <c:v>-1.04469018589225</c:v>
                </c:pt>
                <c:pt idx="21">
                  <c:v>36.7559903113704</c:v>
                </c:pt>
                <c:pt idx="22">
                  <c:v>-9.90460887339361</c:v>
                </c:pt>
                <c:pt idx="23">
                  <c:v>-59.4843498424499</c:v>
                </c:pt>
                <c:pt idx="24">
                  <c:v>-34.7398715167099</c:v>
                </c:pt>
                <c:pt idx="25">
                  <c:v>-20.7592570488769</c:v>
                </c:pt>
                <c:pt idx="26">
                  <c:v>18.040710786218</c:v>
                </c:pt>
                <c:pt idx="27">
                  <c:v>22.6088461751481</c:v>
                </c:pt>
                <c:pt idx="28">
                  <c:v>35.236607012278</c:v>
                </c:pt>
                <c:pt idx="29">
                  <c:v>43.0829682141888</c:v>
                </c:pt>
              </c:numCache>
            </c:numRef>
          </c:yVal>
          <c:smooth val="0"/>
        </c:ser>
        <c:dLbls>
          <c:showLegendKey val="0"/>
          <c:showVal val="0"/>
          <c:showCatName val="0"/>
          <c:showSerName val="0"/>
          <c:showPercent val="0"/>
          <c:showBubbleSize val="0"/>
        </c:dLbls>
        <c:axId val="1302284415"/>
        <c:axId val="1395133807"/>
      </c:scatterChart>
      <c:valAx>
        <c:axId val="1302284415"/>
        <c:scaling>
          <c:orientation val="minMax"/>
        </c:scaling>
        <c:delete val="0"/>
        <c:axPos val="b"/>
        <c:title>
          <c:tx>
            <c:rich>
              <a:bodyPr rot="0" spcFirstLastPara="0" vertOverflow="ellipsis" vert="horz" wrap="square" anchor="ctr" anchorCtr="1"/>
              <a:lstStyle/>
              <a:p>
                <a:pPr>
                  <a:defRPr lang="ru-RU" sz="1000" b="1" i="0" u="none" strike="noStrike" kern="1200" baseline="0">
                    <a:solidFill>
                      <a:schemeClr val="tx1"/>
                    </a:solidFill>
                    <a:latin typeface="+mn-lt"/>
                    <a:ea typeface="+mn-ea"/>
                    <a:cs typeface="+mn-cs"/>
                  </a:defRPr>
                </a:pPr>
                <a:r>
                  <a:rPr lang="ru-RU"/>
                  <a:t>Стоимость основных производственных фондов, млн руб., </a:t>
                </a:r>
                <a:r>
                  <a:rPr lang="en-US"/>
                  <a:t>X3</a:t>
                </a:r>
                <a:endParaRPr lang="en-US"/>
              </a:p>
            </c:rich>
          </c:tx>
          <c:layout/>
          <c:overlay val="0"/>
        </c:title>
        <c:numFmt formatCode="General" sourceLinked="1"/>
        <c:majorTickMark val="out"/>
        <c:minorTickMark val="none"/>
        <c:tickLblPos val="nextTo"/>
        <c:txPr>
          <a:bodyPr rot="-60000000" spcFirstLastPara="0" vertOverflow="ellipsis" vert="horz" wrap="square" anchor="ctr" anchorCtr="1"/>
          <a:lstStyle/>
          <a:p>
            <a:pPr>
              <a:defRPr lang="ru-RU" sz="1000" b="0" i="0" u="none" strike="noStrike" kern="1200" baseline="0">
                <a:solidFill>
                  <a:schemeClr val="tx1"/>
                </a:solidFill>
                <a:latin typeface="+mn-lt"/>
                <a:ea typeface="+mn-ea"/>
                <a:cs typeface="+mn-cs"/>
              </a:defRPr>
            </a:pPr>
          </a:p>
        </c:txPr>
        <c:crossAx val="1395133807"/>
        <c:crosses val="autoZero"/>
        <c:crossBetween val="midCat"/>
      </c:valAx>
      <c:valAx>
        <c:axId val="1395133807"/>
        <c:scaling>
          <c:orientation val="minMax"/>
        </c:scaling>
        <c:delete val="0"/>
        <c:axPos val="l"/>
        <c:title>
          <c:tx>
            <c:rich>
              <a:bodyPr rot="-5400000" spcFirstLastPara="0" vertOverflow="ellipsis" vert="horz" wrap="square" anchor="ctr" anchorCtr="1"/>
              <a:lstStyle/>
              <a:p>
                <a:pPr>
                  <a:defRPr lang="ru-RU" sz="1000" b="1" i="0" u="none" strike="noStrike" kern="1200" baseline="0">
                    <a:solidFill>
                      <a:schemeClr val="tx1"/>
                    </a:solidFill>
                    <a:latin typeface="+mn-lt"/>
                    <a:ea typeface="+mn-ea"/>
                    <a:cs typeface="+mn-cs"/>
                  </a:defRPr>
                </a:pPr>
                <a:r>
                  <a:rPr lang="ru-RU"/>
                  <a:t>Остатки</a:t>
                </a:r>
                <a:endParaRPr lang="ru-RU"/>
              </a:p>
            </c:rich>
          </c:tx>
          <c:layout/>
          <c:overlay val="0"/>
        </c:title>
        <c:numFmt formatCode="General" sourceLinked="1"/>
        <c:majorTickMark val="out"/>
        <c:minorTickMark val="none"/>
        <c:tickLblPos val="nextTo"/>
        <c:txPr>
          <a:bodyPr rot="-60000000" spcFirstLastPara="0" vertOverflow="ellipsis" vert="horz" wrap="square" anchor="ctr" anchorCtr="1"/>
          <a:lstStyle/>
          <a:p>
            <a:pPr>
              <a:defRPr lang="ru-RU" sz="1000" b="0" i="0" u="none" strike="noStrike" kern="1200" baseline="0">
                <a:solidFill>
                  <a:schemeClr val="tx1"/>
                </a:solidFill>
                <a:latin typeface="+mn-lt"/>
                <a:ea typeface="+mn-ea"/>
                <a:cs typeface="+mn-cs"/>
              </a:defRPr>
            </a:pPr>
          </a:p>
        </c:txPr>
        <c:crossAx val="1302284415"/>
        <c:crosses val="autoZero"/>
        <c:crossBetween val="midCat"/>
      </c:valAx>
    </c:plotArea>
    <c:plotVisOnly val="1"/>
    <c:dispBlanksAs val="gap"/>
    <c:showDLblsOverMax val="0"/>
    <c:extLst>
      <c:ext uri="{0b15fc19-7d7d-44ad-8c2d-2c3a37ce22c3}">
        <chartProps xmlns="https://web.wps.cn/et/2018/main" chartId="{76f24d9d-b6da-4dfc-85d5-789f70f618a6}"/>
      </c:ext>
    </c:extLst>
  </c:chart>
  <c:txPr>
    <a:bodyPr/>
    <a:lstStyle/>
    <a:p>
      <a:pPr>
        <a:defRPr lang="ru-RU"/>
      </a:pPr>
    </a:p>
  </c:txPr>
  <c:printSettings>
    <c:headerFooter/>
    <c:pageMargins b="0.75" l="0.7" r="0.7" t="0.75" header="0.3" footer="0.3"/>
    <c:pageSetup/>
  </c:printSettings>
</c:chartSpace>
</file>

<file path=xl/charts/chart51.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0" vertOverflow="ellipsis" vert="horz" wrap="square" anchor="ctr" anchorCtr="1"/>
          <a:lstStyle/>
          <a:p>
            <a:pPr>
              <a:defRPr lang="ru-RU" sz="1800" b="1" i="0" u="none" strike="noStrike" kern="1200" baseline="0">
                <a:solidFill>
                  <a:schemeClr val="tx1"/>
                </a:solidFill>
                <a:latin typeface="+mn-lt"/>
                <a:ea typeface="+mn-ea"/>
                <a:cs typeface="+mn-cs"/>
              </a:defRPr>
            </a:pPr>
            <a:r>
              <a:rPr lang="ru-RU"/>
              <a:t>Уровень использования производственных мощностей, %, </a:t>
            </a:r>
            <a:r>
              <a:rPr lang="en-US"/>
              <a:t>X9 </a:t>
            </a:r>
            <a:r>
              <a:rPr lang="ru-RU"/>
              <a:t>График остатков</a:t>
            </a:r>
            <a:endParaRPr lang="ru-RU"/>
          </a:p>
        </c:rich>
      </c:tx>
      <c:layout/>
      <c:overlay val="0"/>
    </c:title>
    <c:autoTitleDeleted val="0"/>
    <c:plotArea>
      <c:layout/>
      <c:scatterChart>
        <c:scatterStyle val="marker"/>
        <c:varyColors val="0"/>
        <c:ser>
          <c:idx val="0"/>
          <c:order val="0"/>
          <c:spPr>
            <a:ln w="19050" cap="rnd" cmpd="sng" algn="ctr">
              <a:noFill/>
              <a:prstDash val="solid"/>
              <a:round/>
            </a:ln>
          </c:spPr>
          <c:dLbls>
            <c:delete val="1"/>
          </c:dLbls>
          <c:xVal>
            <c:numRef>
              <c:f>'Исходные данные 6'!$E$2:$E$31</c:f>
              <c:numCache>
                <c:formatCode>General</c:formatCode>
                <c:ptCount val="30"/>
                <c:pt idx="0">
                  <c:v>96</c:v>
                </c:pt>
                <c:pt idx="1">
                  <c:v>97</c:v>
                </c:pt>
                <c:pt idx="2">
                  <c:v>96</c:v>
                </c:pt>
                <c:pt idx="3">
                  <c:v>93</c:v>
                </c:pt>
                <c:pt idx="4">
                  <c:v>93</c:v>
                </c:pt>
                <c:pt idx="5">
                  <c:v>94</c:v>
                </c:pt>
                <c:pt idx="6">
                  <c:v>95</c:v>
                </c:pt>
                <c:pt idx="7">
                  <c:v>95</c:v>
                </c:pt>
                <c:pt idx="8">
                  <c:v>95</c:v>
                </c:pt>
                <c:pt idx="9">
                  <c:v>95</c:v>
                </c:pt>
                <c:pt idx="10">
                  <c:v>88</c:v>
                </c:pt>
                <c:pt idx="11">
                  <c:v>85</c:v>
                </c:pt>
                <c:pt idx="12">
                  <c:v>72</c:v>
                </c:pt>
                <c:pt idx="13">
                  <c:v>68</c:v>
                </c:pt>
                <c:pt idx="14">
                  <c:v>66</c:v>
                </c:pt>
                <c:pt idx="15">
                  <c:v>62</c:v>
                </c:pt>
                <c:pt idx="16">
                  <c:v>60</c:v>
                </c:pt>
                <c:pt idx="17">
                  <c:v>60</c:v>
                </c:pt>
                <c:pt idx="18">
                  <c:v>70</c:v>
                </c:pt>
                <c:pt idx="19">
                  <c:v>80</c:v>
                </c:pt>
                <c:pt idx="20">
                  <c:v>87</c:v>
                </c:pt>
                <c:pt idx="21">
                  <c:v>89</c:v>
                </c:pt>
                <c:pt idx="22">
                  <c:v>89</c:v>
                </c:pt>
                <c:pt idx="23">
                  <c:v>89</c:v>
                </c:pt>
                <c:pt idx="24">
                  <c:v>87</c:v>
                </c:pt>
                <c:pt idx="25">
                  <c:v>83</c:v>
                </c:pt>
                <c:pt idx="26">
                  <c:v>88</c:v>
                </c:pt>
                <c:pt idx="27">
                  <c:v>96</c:v>
                </c:pt>
                <c:pt idx="28">
                  <c:v>97</c:v>
                </c:pt>
                <c:pt idx="29">
                  <c:v>90</c:v>
                </c:pt>
              </c:numCache>
            </c:numRef>
          </c:xVal>
          <c:yVal>
            <c:numRef>
              <c:f>'Анализ данных 6'!$C$27:$C$56</c:f>
              <c:numCache>
                <c:formatCode>General</c:formatCode>
                <c:ptCount val="30"/>
                <c:pt idx="0">
                  <c:v>-18.1216118842644</c:v>
                </c:pt>
                <c:pt idx="1">
                  <c:v>-60.3925773962113</c:v>
                </c:pt>
                <c:pt idx="2">
                  <c:v>-3.14335044010005</c:v>
                </c:pt>
                <c:pt idx="3">
                  <c:v>-0.0518212737200656</c:v>
                </c:pt>
                <c:pt idx="4">
                  <c:v>-0.964454535903542</c:v>
                </c:pt>
                <c:pt idx="5">
                  <c:v>8.48668524029233</c:v>
                </c:pt>
                <c:pt idx="6">
                  <c:v>18.6095536601705</c:v>
                </c:pt>
                <c:pt idx="7">
                  <c:v>35.7707712333782</c:v>
                </c:pt>
                <c:pt idx="8">
                  <c:v>53.3541354228303</c:v>
                </c:pt>
                <c:pt idx="9">
                  <c:v>7.30276106195652</c:v>
                </c:pt>
                <c:pt idx="10">
                  <c:v>-87.8402471354208</c:v>
                </c:pt>
                <c:pt idx="11">
                  <c:v>-21.8292507805426</c:v>
                </c:pt>
                <c:pt idx="12">
                  <c:v>-1.86001422863228</c:v>
                </c:pt>
                <c:pt idx="13">
                  <c:v>25.8819742166806</c:v>
                </c:pt>
                <c:pt idx="14">
                  <c:v>23.9097924534998</c:v>
                </c:pt>
                <c:pt idx="15">
                  <c:v>30.6324287864844</c:v>
                </c:pt>
                <c:pt idx="16">
                  <c:v>31.1993961824035</c:v>
                </c:pt>
                <c:pt idx="17">
                  <c:v>-51.0320490057996</c:v>
                </c:pt>
                <c:pt idx="18">
                  <c:v>-20.333964046876</c:v>
                </c:pt>
                <c:pt idx="19">
                  <c:v>0.62949743789261</c:v>
                </c:pt>
                <c:pt idx="20">
                  <c:v>-1.04469018589225</c:v>
                </c:pt>
                <c:pt idx="21">
                  <c:v>36.7559903113704</c:v>
                </c:pt>
                <c:pt idx="22">
                  <c:v>-9.90460887339361</c:v>
                </c:pt>
                <c:pt idx="23">
                  <c:v>-59.4843498424499</c:v>
                </c:pt>
                <c:pt idx="24">
                  <c:v>-34.7398715167099</c:v>
                </c:pt>
                <c:pt idx="25">
                  <c:v>-20.7592570488769</c:v>
                </c:pt>
                <c:pt idx="26">
                  <c:v>18.040710786218</c:v>
                </c:pt>
                <c:pt idx="27">
                  <c:v>22.6088461751481</c:v>
                </c:pt>
                <c:pt idx="28">
                  <c:v>35.236607012278</c:v>
                </c:pt>
                <c:pt idx="29">
                  <c:v>43.0829682141888</c:v>
                </c:pt>
              </c:numCache>
            </c:numRef>
          </c:yVal>
          <c:smooth val="0"/>
        </c:ser>
        <c:dLbls>
          <c:showLegendKey val="0"/>
          <c:showVal val="0"/>
          <c:showCatName val="0"/>
          <c:showSerName val="0"/>
          <c:showPercent val="0"/>
          <c:showBubbleSize val="0"/>
        </c:dLbls>
        <c:axId val="1310927695"/>
        <c:axId val="1395152527"/>
      </c:scatterChart>
      <c:valAx>
        <c:axId val="1310927695"/>
        <c:scaling>
          <c:orientation val="minMax"/>
        </c:scaling>
        <c:delete val="0"/>
        <c:axPos val="b"/>
        <c:title>
          <c:tx>
            <c:rich>
              <a:bodyPr rot="0" spcFirstLastPara="0" vertOverflow="ellipsis" vert="horz" wrap="square" anchor="ctr" anchorCtr="1"/>
              <a:lstStyle/>
              <a:p>
                <a:pPr>
                  <a:defRPr lang="ru-RU" sz="1000" b="1" i="0" u="none" strike="noStrike" kern="1200" baseline="0">
                    <a:solidFill>
                      <a:schemeClr val="tx1"/>
                    </a:solidFill>
                    <a:latin typeface="+mn-lt"/>
                    <a:ea typeface="+mn-ea"/>
                    <a:cs typeface="+mn-cs"/>
                  </a:defRPr>
                </a:pPr>
                <a:r>
                  <a:rPr lang="ru-RU"/>
                  <a:t>Уровень использования производственных мощностей, %, </a:t>
                </a:r>
                <a:r>
                  <a:rPr lang="en-US"/>
                  <a:t>X9</a:t>
                </a:r>
                <a:endParaRPr lang="en-US"/>
              </a:p>
            </c:rich>
          </c:tx>
          <c:layout/>
          <c:overlay val="0"/>
        </c:title>
        <c:numFmt formatCode="General" sourceLinked="1"/>
        <c:majorTickMark val="out"/>
        <c:minorTickMark val="none"/>
        <c:tickLblPos val="nextTo"/>
        <c:txPr>
          <a:bodyPr rot="-60000000" spcFirstLastPara="0" vertOverflow="ellipsis" vert="horz" wrap="square" anchor="ctr" anchorCtr="1"/>
          <a:lstStyle/>
          <a:p>
            <a:pPr>
              <a:defRPr lang="ru-RU" sz="1000" b="0" i="0" u="none" strike="noStrike" kern="1200" baseline="0">
                <a:solidFill>
                  <a:schemeClr val="tx1"/>
                </a:solidFill>
                <a:latin typeface="+mn-lt"/>
                <a:ea typeface="+mn-ea"/>
                <a:cs typeface="+mn-cs"/>
              </a:defRPr>
            </a:pPr>
          </a:p>
        </c:txPr>
        <c:crossAx val="1395152527"/>
        <c:crosses val="autoZero"/>
        <c:crossBetween val="midCat"/>
      </c:valAx>
      <c:valAx>
        <c:axId val="1395152527"/>
        <c:scaling>
          <c:orientation val="minMax"/>
        </c:scaling>
        <c:delete val="0"/>
        <c:axPos val="l"/>
        <c:title>
          <c:tx>
            <c:rich>
              <a:bodyPr rot="-5400000" spcFirstLastPara="0" vertOverflow="ellipsis" vert="horz" wrap="square" anchor="ctr" anchorCtr="1"/>
              <a:lstStyle/>
              <a:p>
                <a:pPr>
                  <a:defRPr lang="ru-RU" sz="1000" b="1" i="0" u="none" strike="noStrike" kern="1200" baseline="0">
                    <a:solidFill>
                      <a:schemeClr val="tx1"/>
                    </a:solidFill>
                    <a:latin typeface="+mn-lt"/>
                    <a:ea typeface="+mn-ea"/>
                    <a:cs typeface="+mn-cs"/>
                  </a:defRPr>
                </a:pPr>
                <a:r>
                  <a:rPr lang="ru-RU"/>
                  <a:t>Остатки</a:t>
                </a:r>
                <a:endParaRPr lang="ru-RU"/>
              </a:p>
            </c:rich>
          </c:tx>
          <c:layout/>
          <c:overlay val="0"/>
        </c:title>
        <c:numFmt formatCode="General" sourceLinked="1"/>
        <c:majorTickMark val="out"/>
        <c:minorTickMark val="none"/>
        <c:tickLblPos val="nextTo"/>
        <c:txPr>
          <a:bodyPr rot="-60000000" spcFirstLastPara="0" vertOverflow="ellipsis" vert="horz" wrap="square" anchor="ctr" anchorCtr="1"/>
          <a:lstStyle/>
          <a:p>
            <a:pPr>
              <a:defRPr lang="ru-RU" sz="1000" b="0" i="0" u="none" strike="noStrike" kern="1200" baseline="0">
                <a:solidFill>
                  <a:schemeClr val="tx1"/>
                </a:solidFill>
                <a:latin typeface="+mn-lt"/>
                <a:ea typeface="+mn-ea"/>
                <a:cs typeface="+mn-cs"/>
              </a:defRPr>
            </a:pPr>
          </a:p>
        </c:txPr>
        <c:crossAx val="1310927695"/>
        <c:crosses val="autoZero"/>
        <c:crossBetween val="midCat"/>
      </c:valAx>
    </c:plotArea>
    <c:plotVisOnly val="1"/>
    <c:dispBlanksAs val="gap"/>
    <c:showDLblsOverMax val="0"/>
    <c:extLst>
      <c:ext uri="{0b15fc19-7d7d-44ad-8c2d-2c3a37ce22c3}">
        <chartProps xmlns="https://web.wps.cn/et/2018/main" chartId="{e4e6616a-0469-421e-8dbc-d6e61f7d7672}"/>
      </c:ext>
    </c:extLst>
  </c:chart>
  <c:txPr>
    <a:bodyPr/>
    <a:lstStyle/>
    <a:p>
      <a:pPr>
        <a:defRPr lang="ru-RU"/>
      </a:pPr>
    </a:p>
  </c:txPr>
  <c:printSettings>
    <c:headerFooter/>
    <c:pageMargins b="0.75" l="0.7" r="0.7" t="0.75" header="0.3" footer="0.3"/>
    <c:pageSetup/>
  </c:printSettings>
</c:chartSpace>
</file>

<file path=xl/charts/chart52.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0" vertOverflow="ellipsis" vert="horz" wrap="square" anchor="ctr" anchorCtr="1"/>
          <a:lstStyle/>
          <a:p>
            <a:pPr>
              <a:defRPr lang="ru-RU" sz="1800" b="1" i="0" u="none" strike="noStrike" kern="1200" baseline="0">
                <a:solidFill>
                  <a:schemeClr val="tx1"/>
                </a:solidFill>
                <a:latin typeface="+mn-lt"/>
                <a:ea typeface="+mn-ea"/>
                <a:cs typeface="+mn-cs"/>
              </a:defRPr>
            </a:pPr>
            <a:r>
              <a:rPr lang="ru-RU"/>
              <a:t>Среднесписочная численность работников, чел., </a:t>
            </a:r>
            <a:r>
              <a:rPr lang="en-US"/>
              <a:t>X2 </a:t>
            </a:r>
            <a:r>
              <a:rPr lang="ru-RU"/>
              <a:t>График подбора</a:t>
            </a:r>
            <a:endParaRPr lang="ru-RU"/>
          </a:p>
        </c:rich>
      </c:tx>
      <c:layout/>
      <c:overlay val="0"/>
    </c:title>
    <c:autoTitleDeleted val="0"/>
    <c:plotArea>
      <c:layout/>
      <c:scatterChart>
        <c:scatterStyle val="marker"/>
        <c:varyColors val="0"/>
        <c:ser>
          <c:idx val="0"/>
          <c:order val="0"/>
          <c:tx>
            <c:strRef>
              <c:f>"Прибыль, млн руб., Y"</c:f>
              <c:strCache>
                <c:ptCount val="1"/>
                <c:pt idx="0">
                  <c:v>Прибыль, млн руб., Y</c:v>
                </c:pt>
              </c:strCache>
            </c:strRef>
          </c:tx>
          <c:spPr>
            <a:ln w="19050" cap="rnd" cmpd="sng" algn="ctr">
              <a:noFill/>
              <a:prstDash val="solid"/>
              <a:round/>
            </a:ln>
          </c:spPr>
          <c:dLbls>
            <c:delete val="1"/>
          </c:dLbls>
          <c:xVal>
            <c:numRef>
              <c:f>'Исходные данные 6'!$C$2:$C$31</c:f>
              <c:numCache>
                <c:formatCode>General</c:formatCode>
                <c:ptCount val="30"/>
                <c:pt idx="0">
                  <c:v>500</c:v>
                </c:pt>
                <c:pt idx="1">
                  <c:v>510</c:v>
                </c:pt>
                <c:pt idx="2">
                  <c:v>509</c:v>
                </c:pt>
                <c:pt idx="3">
                  <c:v>515</c:v>
                </c:pt>
                <c:pt idx="4">
                  <c:v>520</c:v>
                </c:pt>
                <c:pt idx="5">
                  <c:v>519</c:v>
                </c:pt>
                <c:pt idx="6">
                  <c:v>525</c:v>
                </c:pt>
                <c:pt idx="7">
                  <c:v>526</c:v>
                </c:pt>
                <c:pt idx="8">
                  <c:v>530</c:v>
                </c:pt>
                <c:pt idx="9">
                  <c:v>550</c:v>
                </c:pt>
                <c:pt idx="10">
                  <c:v>570</c:v>
                </c:pt>
                <c:pt idx="11">
                  <c:v>560</c:v>
                </c:pt>
                <c:pt idx="12">
                  <c:v>555</c:v>
                </c:pt>
                <c:pt idx="13">
                  <c:v>555</c:v>
                </c:pt>
                <c:pt idx="14">
                  <c:v>560</c:v>
                </c:pt>
                <c:pt idx="15">
                  <c:v>560</c:v>
                </c:pt>
                <c:pt idx="16">
                  <c:v>562</c:v>
                </c:pt>
                <c:pt idx="17">
                  <c:v>580</c:v>
                </c:pt>
                <c:pt idx="18">
                  <c:v>581</c:v>
                </c:pt>
                <c:pt idx="19">
                  <c:v>582</c:v>
                </c:pt>
                <c:pt idx="20">
                  <c:v>585</c:v>
                </c:pt>
                <c:pt idx="21">
                  <c:v>590</c:v>
                </c:pt>
                <c:pt idx="22">
                  <c:v>601</c:v>
                </c:pt>
                <c:pt idx="23">
                  <c:v>612</c:v>
                </c:pt>
                <c:pt idx="24">
                  <c:v>610</c:v>
                </c:pt>
                <c:pt idx="25">
                  <c:v>611</c:v>
                </c:pt>
                <c:pt idx="26">
                  <c:v>615</c:v>
                </c:pt>
                <c:pt idx="27">
                  <c:v>620</c:v>
                </c:pt>
                <c:pt idx="28">
                  <c:v>621</c:v>
                </c:pt>
                <c:pt idx="29">
                  <c:v>622</c:v>
                </c:pt>
              </c:numCache>
            </c:numRef>
          </c:xVal>
          <c:yVal>
            <c:numRef>
              <c:f>'Исходные данные 6'!$B$2:$B$31</c:f>
              <c:numCache>
                <c:formatCode>General</c:formatCode>
                <c:ptCount val="30"/>
                <c:pt idx="0">
                  <c:v>335</c:v>
                </c:pt>
                <c:pt idx="1">
                  <c:v>336</c:v>
                </c:pt>
                <c:pt idx="2">
                  <c:v>388</c:v>
                </c:pt>
                <c:pt idx="3">
                  <c:v>420</c:v>
                </c:pt>
                <c:pt idx="4">
                  <c:v>450</c:v>
                </c:pt>
                <c:pt idx="5">
                  <c:v>450</c:v>
                </c:pt>
                <c:pt idx="6">
                  <c:v>500</c:v>
                </c:pt>
                <c:pt idx="7">
                  <c:v>520</c:v>
                </c:pt>
                <c:pt idx="8">
                  <c:v>550</c:v>
                </c:pt>
                <c:pt idx="9">
                  <c:v>600</c:v>
                </c:pt>
                <c:pt idx="10">
                  <c:v>605</c:v>
                </c:pt>
                <c:pt idx="11">
                  <c:v>620</c:v>
                </c:pt>
                <c:pt idx="12">
                  <c:v>630</c:v>
                </c:pt>
                <c:pt idx="13">
                  <c:v>655</c:v>
                </c:pt>
                <c:pt idx="14">
                  <c:v>690</c:v>
                </c:pt>
                <c:pt idx="15">
                  <c:v>690</c:v>
                </c:pt>
                <c:pt idx="16">
                  <c:v>710</c:v>
                </c:pt>
                <c:pt idx="17">
                  <c:v>720</c:v>
                </c:pt>
                <c:pt idx="18">
                  <c:v>745</c:v>
                </c:pt>
                <c:pt idx="19">
                  <c:v>760</c:v>
                </c:pt>
                <c:pt idx="20">
                  <c:v>780</c:v>
                </c:pt>
                <c:pt idx="21">
                  <c:v>840</c:v>
                </c:pt>
                <c:pt idx="22">
                  <c:v>845</c:v>
                </c:pt>
                <c:pt idx="23">
                  <c:v>850</c:v>
                </c:pt>
                <c:pt idx="24">
                  <c:v>860</c:v>
                </c:pt>
                <c:pt idx="25">
                  <c:v>890</c:v>
                </c:pt>
                <c:pt idx="26">
                  <c:v>940</c:v>
                </c:pt>
                <c:pt idx="27">
                  <c:v>960</c:v>
                </c:pt>
                <c:pt idx="28">
                  <c:v>980</c:v>
                </c:pt>
                <c:pt idx="29">
                  <c:v>990</c:v>
                </c:pt>
              </c:numCache>
            </c:numRef>
          </c:yVal>
          <c:smooth val="0"/>
        </c:ser>
        <c:ser>
          <c:idx val="1"/>
          <c:order val="1"/>
          <c:tx>
            <c:strRef>
              <c:f>"Предсказанное Прибыль, млн руб., Y"</c:f>
              <c:strCache>
                <c:ptCount val="1"/>
                <c:pt idx="0">
                  <c:v>Предсказанное Прибыль, млн руб., Y</c:v>
                </c:pt>
              </c:strCache>
            </c:strRef>
          </c:tx>
          <c:spPr>
            <a:ln w="19050" cap="rnd" cmpd="sng" algn="ctr">
              <a:noFill/>
              <a:prstDash val="solid"/>
              <a:round/>
            </a:ln>
          </c:spPr>
          <c:dLbls>
            <c:delete val="1"/>
          </c:dLbls>
          <c:xVal>
            <c:numRef>
              <c:f>'Исходные данные 6'!$C$2:$C$31</c:f>
              <c:numCache>
                <c:formatCode>General</c:formatCode>
                <c:ptCount val="30"/>
                <c:pt idx="0">
                  <c:v>500</c:v>
                </c:pt>
                <c:pt idx="1">
                  <c:v>510</c:v>
                </c:pt>
                <c:pt idx="2">
                  <c:v>509</c:v>
                </c:pt>
                <c:pt idx="3">
                  <c:v>515</c:v>
                </c:pt>
                <c:pt idx="4">
                  <c:v>520</c:v>
                </c:pt>
                <c:pt idx="5">
                  <c:v>519</c:v>
                </c:pt>
                <c:pt idx="6">
                  <c:v>525</c:v>
                </c:pt>
                <c:pt idx="7">
                  <c:v>526</c:v>
                </c:pt>
                <c:pt idx="8">
                  <c:v>530</c:v>
                </c:pt>
                <c:pt idx="9">
                  <c:v>550</c:v>
                </c:pt>
                <c:pt idx="10">
                  <c:v>570</c:v>
                </c:pt>
                <c:pt idx="11">
                  <c:v>560</c:v>
                </c:pt>
                <c:pt idx="12">
                  <c:v>555</c:v>
                </c:pt>
                <c:pt idx="13">
                  <c:v>555</c:v>
                </c:pt>
                <c:pt idx="14">
                  <c:v>560</c:v>
                </c:pt>
                <c:pt idx="15">
                  <c:v>560</c:v>
                </c:pt>
                <c:pt idx="16">
                  <c:v>562</c:v>
                </c:pt>
                <c:pt idx="17">
                  <c:v>580</c:v>
                </c:pt>
                <c:pt idx="18">
                  <c:v>581</c:v>
                </c:pt>
                <c:pt idx="19">
                  <c:v>582</c:v>
                </c:pt>
                <c:pt idx="20">
                  <c:v>585</c:v>
                </c:pt>
                <c:pt idx="21">
                  <c:v>590</c:v>
                </c:pt>
                <c:pt idx="22">
                  <c:v>601</c:v>
                </c:pt>
                <c:pt idx="23">
                  <c:v>612</c:v>
                </c:pt>
                <c:pt idx="24">
                  <c:v>610</c:v>
                </c:pt>
                <c:pt idx="25">
                  <c:v>611</c:v>
                </c:pt>
                <c:pt idx="26">
                  <c:v>615</c:v>
                </c:pt>
                <c:pt idx="27">
                  <c:v>620</c:v>
                </c:pt>
                <c:pt idx="28">
                  <c:v>621</c:v>
                </c:pt>
                <c:pt idx="29">
                  <c:v>622</c:v>
                </c:pt>
              </c:numCache>
            </c:numRef>
          </c:xVal>
          <c:yVal>
            <c:numRef>
              <c:f>'Анализ данных 6'!$B$27:$B$56</c:f>
              <c:numCache>
                <c:formatCode>General</c:formatCode>
                <c:ptCount val="30"/>
                <c:pt idx="0">
                  <c:v>353.121611884264</c:v>
                </c:pt>
                <c:pt idx="1">
                  <c:v>396.392577396211</c:v>
                </c:pt>
                <c:pt idx="2">
                  <c:v>391.1433504401</c:v>
                </c:pt>
                <c:pt idx="3">
                  <c:v>420.05182127372</c:v>
                </c:pt>
                <c:pt idx="4">
                  <c:v>450.964454535904</c:v>
                </c:pt>
                <c:pt idx="5">
                  <c:v>441.513314759708</c:v>
                </c:pt>
                <c:pt idx="6">
                  <c:v>481.39044633983</c:v>
                </c:pt>
                <c:pt idx="7">
                  <c:v>484.229228766622</c:v>
                </c:pt>
                <c:pt idx="8">
                  <c:v>496.64586457717</c:v>
                </c:pt>
                <c:pt idx="9">
                  <c:v>592.697238938043</c:v>
                </c:pt>
                <c:pt idx="10">
                  <c:v>692.840247135421</c:v>
                </c:pt>
                <c:pt idx="11">
                  <c:v>641.829250780543</c:v>
                </c:pt>
                <c:pt idx="12">
                  <c:v>631.860014228632</c:v>
                </c:pt>
                <c:pt idx="13">
                  <c:v>629.118025783319</c:v>
                </c:pt>
                <c:pt idx="14">
                  <c:v>666.0902075465</c:v>
                </c:pt>
                <c:pt idx="15">
                  <c:v>659.367571213516</c:v>
                </c:pt>
                <c:pt idx="16">
                  <c:v>678.800603817597</c:v>
                </c:pt>
                <c:pt idx="17">
                  <c:v>771.0320490058</c:v>
                </c:pt>
                <c:pt idx="18">
                  <c:v>765.333964046876</c:v>
                </c:pt>
                <c:pt idx="19">
                  <c:v>759.370502562107</c:v>
                </c:pt>
                <c:pt idx="20">
                  <c:v>781.044690185892</c:v>
                </c:pt>
                <c:pt idx="21">
                  <c:v>803.24400968863</c:v>
                </c:pt>
                <c:pt idx="22">
                  <c:v>854.904608873394</c:v>
                </c:pt>
                <c:pt idx="23">
                  <c:v>909.48434984245</c:v>
                </c:pt>
                <c:pt idx="24">
                  <c:v>894.73987151671</c:v>
                </c:pt>
                <c:pt idx="25">
                  <c:v>910.759257048877</c:v>
                </c:pt>
                <c:pt idx="26">
                  <c:v>921.959289213782</c:v>
                </c:pt>
                <c:pt idx="27">
                  <c:v>937.391153824852</c:v>
                </c:pt>
                <c:pt idx="28">
                  <c:v>944.763392987722</c:v>
                </c:pt>
                <c:pt idx="29">
                  <c:v>946.917031785811</c:v>
                </c:pt>
              </c:numCache>
            </c:numRef>
          </c:yVal>
          <c:smooth val="0"/>
        </c:ser>
        <c:dLbls>
          <c:showLegendKey val="0"/>
          <c:showVal val="0"/>
          <c:showCatName val="0"/>
          <c:showSerName val="0"/>
          <c:showPercent val="0"/>
          <c:showBubbleSize val="0"/>
        </c:dLbls>
        <c:axId val="1240125807"/>
        <c:axId val="1395145871"/>
      </c:scatterChart>
      <c:valAx>
        <c:axId val="1240125807"/>
        <c:scaling>
          <c:orientation val="minMax"/>
        </c:scaling>
        <c:delete val="0"/>
        <c:axPos val="b"/>
        <c:title>
          <c:tx>
            <c:rich>
              <a:bodyPr rot="0" spcFirstLastPara="0" vertOverflow="ellipsis" vert="horz" wrap="square" anchor="ctr" anchorCtr="1"/>
              <a:lstStyle/>
              <a:p>
                <a:pPr>
                  <a:defRPr lang="ru-RU" sz="1000" b="1" i="0" u="none" strike="noStrike" kern="1200" baseline="0">
                    <a:solidFill>
                      <a:schemeClr val="tx1"/>
                    </a:solidFill>
                    <a:latin typeface="+mn-lt"/>
                    <a:ea typeface="+mn-ea"/>
                    <a:cs typeface="+mn-cs"/>
                  </a:defRPr>
                </a:pPr>
                <a:r>
                  <a:rPr lang="ru-RU"/>
                  <a:t>Среднесписочная численность работников, чел., </a:t>
                </a:r>
                <a:r>
                  <a:rPr lang="en-US"/>
                  <a:t>X2</a:t>
                </a:r>
                <a:endParaRPr lang="en-US"/>
              </a:p>
            </c:rich>
          </c:tx>
          <c:layout/>
          <c:overlay val="0"/>
        </c:title>
        <c:numFmt formatCode="General" sourceLinked="1"/>
        <c:majorTickMark val="out"/>
        <c:minorTickMark val="none"/>
        <c:tickLblPos val="nextTo"/>
        <c:txPr>
          <a:bodyPr rot="-60000000" spcFirstLastPara="0" vertOverflow="ellipsis" vert="horz" wrap="square" anchor="ctr" anchorCtr="1"/>
          <a:lstStyle/>
          <a:p>
            <a:pPr>
              <a:defRPr lang="ru-RU" sz="1000" b="0" i="0" u="none" strike="noStrike" kern="1200" baseline="0">
                <a:solidFill>
                  <a:schemeClr val="tx1"/>
                </a:solidFill>
                <a:latin typeface="+mn-lt"/>
                <a:ea typeface="+mn-ea"/>
                <a:cs typeface="+mn-cs"/>
              </a:defRPr>
            </a:pPr>
          </a:p>
        </c:txPr>
        <c:crossAx val="1395145871"/>
        <c:crosses val="autoZero"/>
        <c:crossBetween val="midCat"/>
      </c:valAx>
      <c:valAx>
        <c:axId val="1395145871"/>
        <c:scaling>
          <c:orientation val="minMax"/>
        </c:scaling>
        <c:delete val="0"/>
        <c:axPos val="l"/>
        <c:title>
          <c:tx>
            <c:rich>
              <a:bodyPr rot="-5400000" spcFirstLastPara="0" vertOverflow="ellipsis" vert="horz" wrap="square" anchor="ctr" anchorCtr="1"/>
              <a:lstStyle/>
              <a:p>
                <a:pPr>
                  <a:defRPr lang="ru-RU" sz="1000" b="1" i="0" u="none" strike="noStrike" kern="1200" baseline="0">
                    <a:solidFill>
                      <a:schemeClr val="tx1"/>
                    </a:solidFill>
                    <a:latin typeface="+mn-lt"/>
                    <a:ea typeface="+mn-ea"/>
                    <a:cs typeface="+mn-cs"/>
                  </a:defRPr>
                </a:pPr>
                <a:r>
                  <a:rPr lang="ru-RU"/>
                  <a:t>Прибыль, млн руб., </a:t>
                </a:r>
                <a:r>
                  <a:rPr lang="en-US"/>
                  <a:t>Y</a:t>
                </a:r>
                <a:endParaRPr lang="en-US"/>
              </a:p>
            </c:rich>
          </c:tx>
          <c:layout/>
          <c:overlay val="0"/>
        </c:title>
        <c:numFmt formatCode="General" sourceLinked="1"/>
        <c:majorTickMark val="out"/>
        <c:minorTickMark val="none"/>
        <c:tickLblPos val="nextTo"/>
        <c:txPr>
          <a:bodyPr rot="-60000000" spcFirstLastPara="0" vertOverflow="ellipsis" vert="horz" wrap="square" anchor="ctr" anchorCtr="1"/>
          <a:lstStyle/>
          <a:p>
            <a:pPr>
              <a:defRPr lang="ru-RU" sz="1000" b="0" i="0" u="none" strike="noStrike" kern="1200" baseline="0">
                <a:solidFill>
                  <a:schemeClr val="tx1"/>
                </a:solidFill>
                <a:latin typeface="+mn-lt"/>
                <a:ea typeface="+mn-ea"/>
                <a:cs typeface="+mn-cs"/>
              </a:defRPr>
            </a:pPr>
          </a:p>
        </c:txPr>
        <c:crossAx val="1240125807"/>
        <c:crosses val="autoZero"/>
        <c:crossBetween val="midCat"/>
      </c:valAx>
    </c:plotArea>
    <c:legend>
      <c:legendPos val="r"/>
      <c:layout/>
      <c:overlay val="0"/>
      <c:txPr>
        <a:bodyPr rot="0" spcFirstLastPara="0" vertOverflow="ellipsis" vert="horz" wrap="square" anchor="ctr" anchorCtr="1"/>
        <a:lstStyle/>
        <a:p>
          <a:pPr>
            <a:defRPr lang="ru-RU" sz="1000" b="0" i="0" u="none" strike="noStrike" kern="1200" baseline="0">
              <a:solidFill>
                <a:schemeClr val="tx1"/>
              </a:solidFill>
              <a:latin typeface="+mn-lt"/>
              <a:ea typeface="+mn-ea"/>
              <a:cs typeface="+mn-cs"/>
            </a:defRPr>
          </a:pPr>
        </a:p>
      </c:txPr>
    </c:legend>
    <c:plotVisOnly val="1"/>
    <c:dispBlanksAs val="gap"/>
    <c:showDLblsOverMax val="0"/>
    <c:extLst>
      <c:ext uri="{0b15fc19-7d7d-44ad-8c2d-2c3a37ce22c3}">
        <chartProps xmlns="https://web.wps.cn/et/2018/main" chartId="{a6e19aa6-7988-4c55-bbc8-0520b508ce5d}"/>
      </c:ext>
    </c:extLst>
  </c:chart>
  <c:txPr>
    <a:bodyPr/>
    <a:lstStyle/>
    <a:p>
      <a:pPr>
        <a:defRPr lang="ru-RU"/>
      </a:pPr>
    </a:p>
  </c:txPr>
  <c:printSettings>
    <c:headerFooter/>
    <c:pageMargins b="0.75" l="0.7" r="0.7" t="0.75" header="0.3" footer="0.3"/>
    <c:pageSetup/>
  </c:printSettings>
</c:chartSpace>
</file>

<file path=xl/charts/chart53.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0" vertOverflow="ellipsis" vert="horz" wrap="square" anchor="ctr" anchorCtr="1"/>
          <a:lstStyle/>
          <a:p>
            <a:pPr>
              <a:defRPr lang="ru-RU" sz="1800" b="1" i="0" u="none" strike="noStrike" kern="1200" baseline="0">
                <a:solidFill>
                  <a:schemeClr val="tx1"/>
                </a:solidFill>
                <a:latin typeface="+mn-lt"/>
                <a:ea typeface="+mn-ea"/>
                <a:cs typeface="+mn-cs"/>
              </a:defRPr>
            </a:pPr>
            <a:r>
              <a:rPr lang="ru-RU"/>
              <a:t>Стоимость основных производственных фондов, млн руб., </a:t>
            </a:r>
            <a:r>
              <a:rPr lang="en-US"/>
              <a:t>X3 </a:t>
            </a:r>
            <a:r>
              <a:rPr lang="ru-RU"/>
              <a:t>График подбора</a:t>
            </a:r>
            <a:endParaRPr lang="ru-RU"/>
          </a:p>
        </c:rich>
      </c:tx>
      <c:layout/>
      <c:overlay val="0"/>
    </c:title>
    <c:autoTitleDeleted val="0"/>
    <c:plotArea>
      <c:layout/>
      <c:scatterChart>
        <c:scatterStyle val="marker"/>
        <c:varyColors val="0"/>
        <c:ser>
          <c:idx val="0"/>
          <c:order val="0"/>
          <c:tx>
            <c:strRef>
              <c:f>"Прибыль, млн руб., Y"</c:f>
              <c:strCache>
                <c:ptCount val="1"/>
                <c:pt idx="0">
                  <c:v>Прибыль, млн руб., Y</c:v>
                </c:pt>
              </c:strCache>
            </c:strRef>
          </c:tx>
          <c:spPr>
            <a:ln w="19050" cap="rnd" cmpd="sng" algn="ctr">
              <a:noFill/>
              <a:prstDash val="solid"/>
              <a:round/>
            </a:ln>
          </c:spPr>
          <c:dLbls>
            <c:delete val="1"/>
          </c:dLbls>
          <c:xVal>
            <c:numRef>
              <c:f>'Исходные данные 6'!$D$2:$D$31</c:f>
              <c:numCache>
                <c:formatCode>General</c:formatCode>
                <c:ptCount val="30"/>
                <c:pt idx="0">
                  <c:v>1340</c:v>
                </c:pt>
                <c:pt idx="1">
                  <c:v>1560</c:v>
                </c:pt>
                <c:pt idx="2">
                  <c:v>1590</c:v>
                </c:pt>
                <c:pt idx="3">
                  <c:v>1680</c:v>
                </c:pt>
                <c:pt idx="4">
                  <c:v>1450</c:v>
                </c:pt>
                <c:pt idx="5">
                  <c:v>1600</c:v>
                </c:pt>
                <c:pt idx="6">
                  <c:v>1200</c:v>
                </c:pt>
                <c:pt idx="7">
                  <c:v>1280</c:v>
                </c:pt>
                <c:pt idx="8">
                  <c:v>1560</c:v>
                </c:pt>
                <c:pt idx="9">
                  <c:v>1680</c:v>
                </c:pt>
                <c:pt idx="10">
                  <c:v>1780</c:v>
                </c:pt>
                <c:pt idx="11">
                  <c:v>1890</c:v>
                </c:pt>
                <c:pt idx="12">
                  <c:v>1580</c:v>
                </c:pt>
                <c:pt idx="13">
                  <c:v>1760</c:v>
                </c:pt>
                <c:pt idx="14">
                  <c:v>1340</c:v>
                </c:pt>
                <c:pt idx="15">
                  <c:v>1670</c:v>
                </c:pt>
                <c:pt idx="16">
                  <c:v>1350</c:v>
                </c:pt>
                <c:pt idx="17">
                  <c:v>1240</c:v>
                </c:pt>
                <c:pt idx="18">
                  <c:v>1450</c:v>
                </c:pt>
                <c:pt idx="19">
                  <c:v>1670</c:v>
                </c:pt>
                <c:pt idx="20">
                  <c:v>1280</c:v>
                </c:pt>
                <c:pt idx="21">
                  <c:v>1340</c:v>
                </c:pt>
                <c:pt idx="22">
                  <c:v>1450</c:v>
                </c:pt>
                <c:pt idx="23">
                  <c:v>1450</c:v>
                </c:pt>
                <c:pt idx="24">
                  <c:v>1670</c:v>
                </c:pt>
                <c:pt idx="25">
                  <c:v>1330</c:v>
                </c:pt>
                <c:pt idx="26">
                  <c:v>1560</c:v>
                </c:pt>
                <c:pt idx="27">
                  <c:v>1760</c:v>
                </c:pt>
                <c:pt idx="28">
                  <c:v>1650</c:v>
                </c:pt>
                <c:pt idx="29">
                  <c:v>1890</c:v>
                </c:pt>
              </c:numCache>
            </c:numRef>
          </c:xVal>
          <c:yVal>
            <c:numRef>
              <c:f>'Исходные данные 6'!$B$2:$B$31</c:f>
              <c:numCache>
                <c:formatCode>General</c:formatCode>
                <c:ptCount val="30"/>
                <c:pt idx="0">
                  <c:v>335</c:v>
                </c:pt>
                <c:pt idx="1">
                  <c:v>336</c:v>
                </c:pt>
                <c:pt idx="2">
                  <c:v>388</c:v>
                </c:pt>
                <c:pt idx="3">
                  <c:v>420</c:v>
                </c:pt>
                <c:pt idx="4">
                  <c:v>450</c:v>
                </c:pt>
                <c:pt idx="5">
                  <c:v>450</c:v>
                </c:pt>
                <c:pt idx="6">
                  <c:v>500</c:v>
                </c:pt>
                <c:pt idx="7">
                  <c:v>520</c:v>
                </c:pt>
                <c:pt idx="8">
                  <c:v>550</c:v>
                </c:pt>
                <c:pt idx="9">
                  <c:v>600</c:v>
                </c:pt>
                <c:pt idx="10">
                  <c:v>605</c:v>
                </c:pt>
                <c:pt idx="11">
                  <c:v>620</c:v>
                </c:pt>
                <c:pt idx="12">
                  <c:v>630</c:v>
                </c:pt>
                <c:pt idx="13">
                  <c:v>655</c:v>
                </c:pt>
                <c:pt idx="14">
                  <c:v>690</c:v>
                </c:pt>
                <c:pt idx="15">
                  <c:v>690</c:v>
                </c:pt>
                <c:pt idx="16">
                  <c:v>710</c:v>
                </c:pt>
                <c:pt idx="17">
                  <c:v>720</c:v>
                </c:pt>
                <c:pt idx="18">
                  <c:v>745</c:v>
                </c:pt>
                <c:pt idx="19">
                  <c:v>760</c:v>
                </c:pt>
                <c:pt idx="20">
                  <c:v>780</c:v>
                </c:pt>
                <c:pt idx="21">
                  <c:v>840</c:v>
                </c:pt>
                <c:pt idx="22">
                  <c:v>845</c:v>
                </c:pt>
                <c:pt idx="23">
                  <c:v>850</c:v>
                </c:pt>
                <c:pt idx="24">
                  <c:v>860</c:v>
                </c:pt>
                <c:pt idx="25">
                  <c:v>890</c:v>
                </c:pt>
                <c:pt idx="26">
                  <c:v>940</c:v>
                </c:pt>
                <c:pt idx="27">
                  <c:v>960</c:v>
                </c:pt>
                <c:pt idx="28">
                  <c:v>980</c:v>
                </c:pt>
                <c:pt idx="29">
                  <c:v>990</c:v>
                </c:pt>
              </c:numCache>
            </c:numRef>
          </c:yVal>
          <c:smooth val="0"/>
        </c:ser>
        <c:ser>
          <c:idx val="1"/>
          <c:order val="1"/>
          <c:tx>
            <c:strRef>
              <c:f>"Предсказанное Прибыль, млн руб., Y"</c:f>
              <c:strCache>
                <c:ptCount val="1"/>
                <c:pt idx="0">
                  <c:v>Предсказанное Прибыль, млн руб., Y</c:v>
                </c:pt>
              </c:strCache>
            </c:strRef>
          </c:tx>
          <c:spPr>
            <a:ln w="19050" cap="rnd" cmpd="sng" algn="ctr">
              <a:noFill/>
              <a:prstDash val="solid"/>
              <a:round/>
            </a:ln>
          </c:spPr>
          <c:dLbls>
            <c:delete val="1"/>
          </c:dLbls>
          <c:xVal>
            <c:numRef>
              <c:f>'Исходные данные 6'!$D$2:$D$31</c:f>
              <c:numCache>
                <c:formatCode>General</c:formatCode>
                <c:ptCount val="30"/>
                <c:pt idx="0">
                  <c:v>1340</c:v>
                </c:pt>
                <c:pt idx="1">
                  <c:v>1560</c:v>
                </c:pt>
                <c:pt idx="2">
                  <c:v>1590</c:v>
                </c:pt>
                <c:pt idx="3">
                  <c:v>1680</c:v>
                </c:pt>
                <c:pt idx="4">
                  <c:v>1450</c:v>
                </c:pt>
                <c:pt idx="5">
                  <c:v>1600</c:v>
                </c:pt>
                <c:pt idx="6">
                  <c:v>1200</c:v>
                </c:pt>
                <c:pt idx="7">
                  <c:v>1280</c:v>
                </c:pt>
                <c:pt idx="8">
                  <c:v>1560</c:v>
                </c:pt>
                <c:pt idx="9">
                  <c:v>1680</c:v>
                </c:pt>
                <c:pt idx="10">
                  <c:v>1780</c:v>
                </c:pt>
                <c:pt idx="11">
                  <c:v>1890</c:v>
                </c:pt>
                <c:pt idx="12">
                  <c:v>1580</c:v>
                </c:pt>
                <c:pt idx="13">
                  <c:v>1760</c:v>
                </c:pt>
                <c:pt idx="14">
                  <c:v>1340</c:v>
                </c:pt>
                <c:pt idx="15">
                  <c:v>1670</c:v>
                </c:pt>
                <c:pt idx="16">
                  <c:v>1350</c:v>
                </c:pt>
                <c:pt idx="17">
                  <c:v>1240</c:v>
                </c:pt>
                <c:pt idx="18">
                  <c:v>1450</c:v>
                </c:pt>
                <c:pt idx="19">
                  <c:v>1670</c:v>
                </c:pt>
                <c:pt idx="20">
                  <c:v>1280</c:v>
                </c:pt>
                <c:pt idx="21">
                  <c:v>1340</c:v>
                </c:pt>
                <c:pt idx="22">
                  <c:v>1450</c:v>
                </c:pt>
                <c:pt idx="23">
                  <c:v>1450</c:v>
                </c:pt>
                <c:pt idx="24">
                  <c:v>1670</c:v>
                </c:pt>
                <c:pt idx="25">
                  <c:v>1330</c:v>
                </c:pt>
                <c:pt idx="26">
                  <c:v>1560</c:v>
                </c:pt>
                <c:pt idx="27">
                  <c:v>1760</c:v>
                </c:pt>
                <c:pt idx="28">
                  <c:v>1650</c:v>
                </c:pt>
                <c:pt idx="29">
                  <c:v>1890</c:v>
                </c:pt>
              </c:numCache>
            </c:numRef>
          </c:xVal>
          <c:yVal>
            <c:numRef>
              <c:f>'Анализ данных 6'!$B$27:$B$56</c:f>
              <c:numCache>
                <c:formatCode>General</c:formatCode>
                <c:ptCount val="30"/>
                <c:pt idx="0">
                  <c:v>353.121611884264</c:v>
                </c:pt>
                <c:pt idx="1">
                  <c:v>396.392577396211</c:v>
                </c:pt>
                <c:pt idx="2">
                  <c:v>391.1433504401</c:v>
                </c:pt>
                <c:pt idx="3">
                  <c:v>420.05182127372</c:v>
                </c:pt>
                <c:pt idx="4">
                  <c:v>450.964454535904</c:v>
                </c:pt>
                <c:pt idx="5">
                  <c:v>441.513314759708</c:v>
                </c:pt>
                <c:pt idx="6">
                  <c:v>481.39044633983</c:v>
                </c:pt>
                <c:pt idx="7">
                  <c:v>484.229228766622</c:v>
                </c:pt>
                <c:pt idx="8">
                  <c:v>496.64586457717</c:v>
                </c:pt>
                <c:pt idx="9">
                  <c:v>592.697238938043</c:v>
                </c:pt>
                <c:pt idx="10">
                  <c:v>692.840247135421</c:v>
                </c:pt>
                <c:pt idx="11">
                  <c:v>641.829250780543</c:v>
                </c:pt>
                <c:pt idx="12">
                  <c:v>631.860014228632</c:v>
                </c:pt>
                <c:pt idx="13">
                  <c:v>629.118025783319</c:v>
                </c:pt>
                <c:pt idx="14">
                  <c:v>666.0902075465</c:v>
                </c:pt>
                <c:pt idx="15">
                  <c:v>659.367571213516</c:v>
                </c:pt>
                <c:pt idx="16">
                  <c:v>678.800603817597</c:v>
                </c:pt>
                <c:pt idx="17">
                  <c:v>771.0320490058</c:v>
                </c:pt>
                <c:pt idx="18">
                  <c:v>765.333964046876</c:v>
                </c:pt>
                <c:pt idx="19">
                  <c:v>759.370502562107</c:v>
                </c:pt>
                <c:pt idx="20">
                  <c:v>781.044690185892</c:v>
                </c:pt>
                <c:pt idx="21">
                  <c:v>803.24400968863</c:v>
                </c:pt>
                <c:pt idx="22">
                  <c:v>854.904608873394</c:v>
                </c:pt>
                <c:pt idx="23">
                  <c:v>909.48434984245</c:v>
                </c:pt>
                <c:pt idx="24">
                  <c:v>894.73987151671</c:v>
                </c:pt>
                <c:pt idx="25">
                  <c:v>910.759257048877</c:v>
                </c:pt>
                <c:pt idx="26">
                  <c:v>921.959289213782</c:v>
                </c:pt>
                <c:pt idx="27">
                  <c:v>937.391153824852</c:v>
                </c:pt>
                <c:pt idx="28">
                  <c:v>944.763392987722</c:v>
                </c:pt>
                <c:pt idx="29">
                  <c:v>946.917031785811</c:v>
                </c:pt>
              </c:numCache>
            </c:numRef>
          </c:yVal>
          <c:smooth val="0"/>
        </c:ser>
        <c:dLbls>
          <c:showLegendKey val="0"/>
          <c:showVal val="0"/>
          <c:showCatName val="0"/>
          <c:showSerName val="0"/>
          <c:showPercent val="0"/>
          <c:showBubbleSize val="0"/>
        </c:dLbls>
        <c:axId val="1390367327"/>
        <c:axId val="1395137135"/>
      </c:scatterChart>
      <c:valAx>
        <c:axId val="1390367327"/>
        <c:scaling>
          <c:orientation val="minMax"/>
        </c:scaling>
        <c:delete val="0"/>
        <c:axPos val="b"/>
        <c:title>
          <c:tx>
            <c:rich>
              <a:bodyPr rot="0" spcFirstLastPara="0" vertOverflow="ellipsis" vert="horz" wrap="square" anchor="ctr" anchorCtr="1"/>
              <a:lstStyle/>
              <a:p>
                <a:pPr>
                  <a:defRPr lang="ru-RU" sz="1000" b="1" i="0" u="none" strike="noStrike" kern="1200" baseline="0">
                    <a:solidFill>
                      <a:schemeClr val="tx1"/>
                    </a:solidFill>
                    <a:latin typeface="+mn-lt"/>
                    <a:ea typeface="+mn-ea"/>
                    <a:cs typeface="+mn-cs"/>
                  </a:defRPr>
                </a:pPr>
                <a:r>
                  <a:rPr lang="ru-RU"/>
                  <a:t>Стоимость основных производственных фондов, млн руб., </a:t>
                </a:r>
                <a:r>
                  <a:rPr lang="en-US"/>
                  <a:t>X3</a:t>
                </a:r>
                <a:endParaRPr lang="en-US"/>
              </a:p>
            </c:rich>
          </c:tx>
          <c:layout/>
          <c:overlay val="0"/>
        </c:title>
        <c:numFmt formatCode="General" sourceLinked="1"/>
        <c:majorTickMark val="out"/>
        <c:minorTickMark val="none"/>
        <c:tickLblPos val="nextTo"/>
        <c:txPr>
          <a:bodyPr rot="-60000000" spcFirstLastPara="0" vertOverflow="ellipsis" vert="horz" wrap="square" anchor="ctr" anchorCtr="1"/>
          <a:lstStyle/>
          <a:p>
            <a:pPr>
              <a:defRPr lang="ru-RU" sz="1000" b="0" i="0" u="none" strike="noStrike" kern="1200" baseline="0">
                <a:solidFill>
                  <a:schemeClr val="tx1"/>
                </a:solidFill>
                <a:latin typeface="+mn-lt"/>
                <a:ea typeface="+mn-ea"/>
                <a:cs typeface="+mn-cs"/>
              </a:defRPr>
            </a:pPr>
          </a:p>
        </c:txPr>
        <c:crossAx val="1395137135"/>
        <c:crosses val="autoZero"/>
        <c:crossBetween val="midCat"/>
      </c:valAx>
      <c:valAx>
        <c:axId val="1395137135"/>
        <c:scaling>
          <c:orientation val="minMax"/>
        </c:scaling>
        <c:delete val="0"/>
        <c:axPos val="l"/>
        <c:title>
          <c:tx>
            <c:rich>
              <a:bodyPr rot="-5400000" spcFirstLastPara="0" vertOverflow="ellipsis" vert="horz" wrap="square" anchor="ctr" anchorCtr="1"/>
              <a:lstStyle/>
              <a:p>
                <a:pPr>
                  <a:defRPr lang="ru-RU" sz="1000" b="1" i="0" u="none" strike="noStrike" kern="1200" baseline="0">
                    <a:solidFill>
                      <a:schemeClr val="tx1"/>
                    </a:solidFill>
                    <a:latin typeface="+mn-lt"/>
                    <a:ea typeface="+mn-ea"/>
                    <a:cs typeface="+mn-cs"/>
                  </a:defRPr>
                </a:pPr>
                <a:r>
                  <a:rPr lang="ru-RU"/>
                  <a:t>Прибыль, млн руб., </a:t>
                </a:r>
                <a:r>
                  <a:rPr lang="en-US"/>
                  <a:t>Y</a:t>
                </a:r>
                <a:endParaRPr lang="en-US"/>
              </a:p>
            </c:rich>
          </c:tx>
          <c:layout/>
          <c:overlay val="0"/>
        </c:title>
        <c:numFmt formatCode="General" sourceLinked="1"/>
        <c:majorTickMark val="out"/>
        <c:minorTickMark val="none"/>
        <c:tickLblPos val="nextTo"/>
        <c:txPr>
          <a:bodyPr rot="-60000000" spcFirstLastPara="0" vertOverflow="ellipsis" vert="horz" wrap="square" anchor="ctr" anchorCtr="1"/>
          <a:lstStyle/>
          <a:p>
            <a:pPr>
              <a:defRPr lang="ru-RU" sz="1000" b="0" i="0" u="none" strike="noStrike" kern="1200" baseline="0">
                <a:solidFill>
                  <a:schemeClr val="tx1"/>
                </a:solidFill>
                <a:latin typeface="+mn-lt"/>
                <a:ea typeface="+mn-ea"/>
                <a:cs typeface="+mn-cs"/>
              </a:defRPr>
            </a:pPr>
          </a:p>
        </c:txPr>
        <c:crossAx val="1390367327"/>
        <c:crosses val="autoZero"/>
        <c:crossBetween val="midCat"/>
      </c:valAx>
    </c:plotArea>
    <c:legend>
      <c:legendPos val="r"/>
      <c:layout/>
      <c:overlay val="0"/>
      <c:txPr>
        <a:bodyPr rot="0" spcFirstLastPara="0" vertOverflow="ellipsis" vert="horz" wrap="square" anchor="ctr" anchorCtr="1"/>
        <a:lstStyle/>
        <a:p>
          <a:pPr>
            <a:defRPr lang="ru-RU" sz="1000" b="0" i="0" u="none" strike="noStrike" kern="1200" baseline="0">
              <a:solidFill>
                <a:schemeClr val="tx1"/>
              </a:solidFill>
              <a:latin typeface="+mn-lt"/>
              <a:ea typeface="+mn-ea"/>
              <a:cs typeface="+mn-cs"/>
            </a:defRPr>
          </a:pPr>
        </a:p>
      </c:txPr>
    </c:legend>
    <c:plotVisOnly val="1"/>
    <c:dispBlanksAs val="gap"/>
    <c:showDLblsOverMax val="0"/>
    <c:extLst>
      <c:ext uri="{0b15fc19-7d7d-44ad-8c2d-2c3a37ce22c3}">
        <chartProps xmlns="https://web.wps.cn/et/2018/main" chartId="{b4bafff3-c353-4fd3-a43f-57a1ab92d30c}"/>
      </c:ext>
    </c:extLst>
  </c:chart>
  <c:txPr>
    <a:bodyPr/>
    <a:lstStyle/>
    <a:p>
      <a:pPr>
        <a:defRPr lang="ru-RU"/>
      </a:pPr>
    </a:p>
  </c:txPr>
  <c:printSettings>
    <c:headerFooter/>
    <c:pageMargins b="0.75" l="0.7" r="0.7" t="0.75" header="0.3" footer="0.3"/>
    <c:pageSetup/>
  </c:printSettings>
</c:chartSpace>
</file>

<file path=xl/charts/chart54.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0" vertOverflow="ellipsis" vert="horz" wrap="square" anchor="ctr" anchorCtr="1"/>
          <a:lstStyle/>
          <a:p>
            <a:pPr>
              <a:defRPr lang="ru-RU" sz="1800" b="1" i="0" u="none" strike="noStrike" kern="1200" baseline="0">
                <a:solidFill>
                  <a:schemeClr val="tx1"/>
                </a:solidFill>
                <a:latin typeface="+mn-lt"/>
                <a:ea typeface="+mn-ea"/>
                <a:cs typeface="+mn-cs"/>
              </a:defRPr>
            </a:pPr>
            <a:r>
              <a:rPr lang="ru-RU"/>
              <a:t>Уровень использования производственных мощностей, %, </a:t>
            </a:r>
            <a:r>
              <a:rPr lang="en-US"/>
              <a:t>X9 </a:t>
            </a:r>
            <a:r>
              <a:rPr lang="ru-RU"/>
              <a:t>График подбора</a:t>
            </a:r>
            <a:endParaRPr lang="ru-RU"/>
          </a:p>
        </c:rich>
      </c:tx>
      <c:layout/>
      <c:overlay val="0"/>
    </c:title>
    <c:autoTitleDeleted val="0"/>
    <c:plotArea>
      <c:layout/>
      <c:scatterChart>
        <c:scatterStyle val="marker"/>
        <c:varyColors val="0"/>
        <c:ser>
          <c:idx val="0"/>
          <c:order val="0"/>
          <c:tx>
            <c:strRef>
              <c:f>"Прибыль, млн руб., Y"</c:f>
              <c:strCache>
                <c:ptCount val="1"/>
                <c:pt idx="0">
                  <c:v>Прибыль, млн руб., Y</c:v>
                </c:pt>
              </c:strCache>
            </c:strRef>
          </c:tx>
          <c:spPr>
            <a:ln w="19050" cap="rnd" cmpd="sng" algn="ctr">
              <a:noFill/>
              <a:prstDash val="solid"/>
              <a:round/>
            </a:ln>
          </c:spPr>
          <c:dLbls>
            <c:delete val="1"/>
          </c:dLbls>
          <c:xVal>
            <c:numRef>
              <c:f>'Исходные данные 6'!$E$2:$E$31</c:f>
              <c:numCache>
                <c:formatCode>General</c:formatCode>
                <c:ptCount val="30"/>
                <c:pt idx="0">
                  <c:v>96</c:v>
                </c:pt>
                <c:pt idx="1">
                  <c:v>97</c:v>
                </c:pt>
                <c:pt idx="2">
                  <c:v>96</c:v>
                </c:pt>
                <c:pt idx="3">
                  <c:v>93</c:v>
                </c:pt>
                <c:pt idx="4">
                  <c:v>93</c:v>
                </c:pt>
                <c:pt idx="5">
                  <c:v>94</c:v>
                </c:pt>
                <c:pt idx="6">
                  <c:v>95</c:v>
                </c:pt>
                <c:pt idx="7">
                  <c:v>95</c:v>
                </c:pt>
                <c:pt idx="8">
                  <c:v>95</c:v>
                </c:pt>
                <c:pt idx="9">
                  <c:v>95</c:v>
                </c:pt>
                <c:pt idx="10">
                  <c:v>88</c:v>
                </c:pt>
                <c:pt idx="11">
                  <c:v>85</c:v>
                </c:pt>
                <c:pt idx="12">
                  <c:v>72</c:v>
                </c:pt>
                <c:pt idx="13">
                  <c:v>68</c:v>
                </c:pt>
                <c:pt idx="14">
                  <c:v>66</c:v>
                </c:pt>
                <c:pt idx="15">
                  <c:v>62</c:v>
                </c:pt>
                <c:pt idx="16">
                  <c:v>60</c:v>
                </c:pt>
                <c:pt idx="17">
                  <c:v>60</c:v>
                </c:pt>
                <c:pt idx="18">
                  <c:v>70</c:v>
                </c:pt>
                <c:pt idx="19">
                  <c:v>80</c:v>
                </c:pt>
                <c:pt idx="20">
                  <c:v>87</c:v>
                </c:pt>
                <c:pt idx="21">
                  <c:v>89</c:v>
                </c:pt>
                <c:pt idx="22">
                  <c:v>89</c:v>
                </c:pt>
                <c:pt idx="23">
                  <c:v>89</c:v>
                </c:pt>
                <c:pt idx="24">
                  <c:v>87</c:v>
                </c:pt>
                <c:pt idx="25">
                  <c:v>83</c:v>
                </c:pt>
                <c:pt idx="26">
                  <c:v>88</c:v>
                </c:pt>
                <c:pt idx="27">
                  <c:v>96</c:v>
                </c:pt>
                <c:pt idx="28">
                  <c:v>97</c:v>
                </c:pt>
                <c:pt idx="29">
                  <c:v>90</c:v>
                </c:pt>
              </c:numCache>
            </c:numRef>
          </c:xVal>
          <c:yVal>
            <c:numRef>
              <c:f>'Исходные данные 6'!$B$2:$B$31</c:f>
              <c:numCache>
                <c:formatCode>General</c:formatCode>
                <c:ptCount val="30"/>
                <c:pt idx="0">
                  <c:v>335</c:v>
                </c:pt>
                <c:pt idx="1">
                  <c:v>336</c:v>
                </c:pt>
                <c:pt idx="2">
                  <c:v>388</c:v>
                </c:pt>
                <c:pt idx="3">
                  <c:v>420</c:v>
                </c:pt>
                <c:pt idx="4">
                  <c:v>450</c:v>
                </c:pt>
                <c:pt idx="5">
                  <c:v>450</c:v>
                </c:pt>
                <c:pt idx="6">
                  <c:v>500</c:v>
                </c:pt>
                <c:pt idx="7">
                  <c:v>520</c:v>
                </c:pt>
                <c:pt idx="8">
                  <c:v>550</c:v>
                </c:pt>
                <c:pt idx="9">
                  <c:v>600</c:v>
                </c:pt>
                <c:pt idx="10">
                  <c:v>605</c:v>
                </c:pt>
                <c:pt idx="11">
                  <c:v>620</c:v>
                </c:pt>
                <c:pt idx="12">
                  <c:v>630</c:v>
                </c:pt>
                <c:pt idx="13">
                  <c:v>655</c:v>
                </c:pt>
                <c:pt idx="14">
                  <c:v>690</c:v>
                </c:pt>
                <c:pt idx="15">
                  <c:v>690</c:v>
                </c:pt>
                <c:pt idx="16">
                  <c:v>710</c:v>
                </c:pt>
                <c:pt idx="17">
                  <c:v>720</c:v>
                </c:pt>
                <c:pt idx="18">
                  <c:v>745</c:v>
                </c:pt>
                <c:pt idx="19">
                  <c:v>760</c:v>
                </c:pt>
                <c:pt idx="20">
                  <c:v>780</c:v>
                </c:pt>
                <c:pt idx="21">
                  <c:v>840</c:v>
                </c:pt>
                <c:pt idx="22">
                  <c:v>845</c:v>
                </c:pt>
                <c:pt idx="23">
                  <c:v>850</c:v>
                </c:pt>
                <c:pt idx="24">
                  <c:v>860</c:v>
                </c:pt>
                <c:pt idx="25">
                  <c:v>890</c:v>
                </c:pt>
                <c:pt idx="26">
                  <c:v>940</c:v>
                </c:pt>
                <c:pt idx="27">
                  <c:v>960</c:v>
                </c:pt>
                <c:pt idx="28">
                  <c:v>980</c:v>
                </c:pt>
                <c:pt idx="29">
                  <c:v>990</c:v>
                </c:pt>
              </c:numCache>
            </c:numRef>
          </c:yVal>
          <c:smooth val="0"/>
        </c:ser>
        <c:ser>
          <c:idx val="1"/>
          <c:order val="1"/>
          <c:tx>
            <c:strRef>
              <c:f>"Предсказанное Прибыль, млн руб., Y"</c:f>
              <c:strCache>
                <c:ptCount val="1"/>
                <c:pt idx="0">
                  <c:v>Предсказанное Прибыль, млн руб., Y</c:v>
                </c:pt>
              </c:strCache>
            </c:strRef>
          </c:tx>
          <c:spPr>
            <a:ln w="19050" cap="rnd" cmpd="sng" algn="ctr">
              <a:noFill/>
              <a:prstDash val="solid"/>
              <a:round/>
            </a:ln>
          </c:spPr>
          <c:dLbls>
            <c:delete val="1"/>
          </c:dLbls>
          <c:xVal>
            <c:numRef>
              <c:f>'Исходные данные 6'!$E$2:$E$31</c:f>
              <c:numCache>
                <c:formatCode>General</c:formatCode>
                <c:ptCount val="30"/>
                <c:pt idx="0">
                  <c:v>96</c:v>
                </c:pt>
                <c:pt idx="1">
                  <c:v>97</c:v>
                </c:pt>
                <c:pt idx="2">
                  <c:v>96</c:v>
                </c:pt>
                <c:pt idx="3">
                  <c:v>93</c:v>
                </c:pt>
                <c:pt idx="4">
                  <c:v>93</c:v>
                </c:pt>
                <c:pt idx="5">
                  <c:v>94</c:v>
                </c:pt>
                <c:pt idx="6">
                  <c:v>95</c:v>
                </c:pt>
                <c:pt idx="7">
                  <c:v>95</c:v>
                </c:pt>
                <c:pt idx="8">
                  <c:v>95</c:v>
                </c:pt>
                <c:pt idx="9">
                  <c:v>95</c:v>
                </c:pt>
                <c:pt idx="10">
                  <c:v>88</c:v>
                </c:pt>
                <c:pt idx="11">
                  <c:v>85</c:v>
                </c:pt>
                <c:pt idx="12">
                  <c:v>72</c:v>
                </c:pt>
                <c:pt idx="13">
                  <c:v>68</c:v>
                </c:pt>
                <c:pt idx="14">
                  <c:v>66</c:v>
                </c:pt>
                <c:pt idx="15">
                  <c:v>62</c:v>
                </c:pt>
                <c:pt idx="16">
                  <c:v>60</c:v>
                </c:pt>
                <c:pt idx="17">
                  <c:v>60</c:v>
                </c:pt>
                <c:pt idx="18">
                  <c:v>70</c:v>
                </c:pt>
                <c:pt idx="19">
                  <c:v>80</c:v>
                </c:pt>
                <c:pt idx="20">
                  <c:v>87</c:v>
                </c:pt>
                <c:pt idx="21">
                  <c:v>89</c:v>
                </c:pt>
                <c:pt idx="22">
                  <c:v>89</c:v>
                </c:pt>
                <c:pt idx="23">
                  <c:v>89</c:v>
                </c:pt>
                <c:pt idx="24">
                  <c:v>87</c:v>
                </c:pt>
                <c:pt idx="25">
                  <c:v>83</c:v>
                </c:pt>
                <c:pt idx="26">
                  <c:v>88</c:v>
                </c:pt>
                <c:pt idx="27">
                  <c:v>96</c:v>
                </c:pt>
                <c:pt idx="28">
                  <c:v>97</c:v>
                </c:pt>
                <c:pt idx="29">
                  <c:v>90</c:v>
                </c:pt>
              </c:numCache>
            </c:numRef>
          </c:xVal>
          <c:yVal>
            <c:numRef>
              <c:f>'Анализ данных 6'!$B$27:$B$56</c:f>
              <c:numCache>
                <c:formatCode>General</c:formatCode>
                <c:ptCount val="30"/>
                <c:pt idx="0">
                  <c:v>353.121611884264</c:v>
                </c:pt>
                <c:pt idx="1">
                  <c:v>396.392577396211</c:v>
                </c:pt>
                <c:pt idx="2">
                  <c:v>391.1433504401</c:v>
                </c:pt>
                <c:pt idx="3">
                  <c:v>420.05182127372</c:v>
                </c:pt>
                <c:pt idx="4">
                  <c:v>450.964454535904</c:v>
                </c:pt>
                <c:pt idx="5">
                  <c:v>441.513314759708</c:v>
                </c:pt>
                <c:pt idx="6">
                  <c:v>481.39044633983</c:v>
                </c:pt>
                <c:pt idx="7">
                  <c:v>484.229228766622</c:v>
                </c:pt>
                <c:pt idx="8">
                  <c:v>496.64586457717</c:v>
                </c:pt>
                <c:pt idx="9">
                  <c:v>592.697238938043</c:v>
                </c:pt>
                <c:pt idx="10">
                  <c:v>692.840247135421</c:v>
                </c:pt>
                <c:pt idx="11">
                  <c:v>641.829250780543</c:v>
                </c:pt>
                <c:pt idx="12">
                  <c:v>631.860014228632</c:v>
                </c:pt>
                <c:pt idx="13">
                  <c:v>629.118025783319</c:v>
                </c:pt>
                <c:pt idx="14">
                  <c:v>666.0902075465</c:v>
                </c:pt>
                <c:pt idx="15">
                  <c:v>659.367571213516</c:v>
                </c:pt>
                <c:pt idx="16">
                  <c:v>678.800603817597</c:v>
                </c:pt>
                <c:pt idx="17">
                  <c:v>771.0320490058</c:v>
                </c:pt>
                <c:pt idx="18">
                  <c:v>765.333964046876</c:v>
                </c:pt>
                <c:pt idx="19">
                  <c:v>759.370502562107</c:v>
                </c:pt>
                <c:pt idx="20">
                  <c:v>781.044690185892</c:v>
                </c:pt>
                <c:pt idx="21">
                  <c:v>803.24400968863</c:v>
                </c:pt>
                <c:pt idx="22">
                  <c:v>854.904608873394</c:v>
                </c:pt>
                <c:pt idx="23">
                  <c:v>909.48434984245</c:v>
                </c:pt>
                <c:pt idx="24">
                  <c:v>894.73987151671</c:v>
                </c:pt>
                <c:pt idx="25">
                  <c:v>910.759257048877</c:v>
                </c:pt>
                <c:pt idx="26">
                  <c:v>921.959289213782</c:v>
                </c:pt>
                <c:pt idx="27">
                  <c:v>937.391153824852</c:v>
                </c:pt>
                <c:pt idx="28">
                  <c:v>944.763392987722</c:v>
                </c:pt>
                <c:pt idx="29">
                  <c:v>946.917031785811</c:v>
                </c:pt>
              </c:numCache>
            </c:numRef>
          </c:yVal>
          <c:smooth val="0"/>
        </c:ser>
        <c:dLbls>
          <c:showLegendKey val="0"/>
          <c:showVal val="0"/>
          <c:showCatName val="0"/>
          <c:showSerName val="0"/>
          <c:showPercent val="0"/>
          <c:showBubbleSize val="0"/>
        </c:dLbls>
        <c:axId val="1390363327"/>
        <c:axId val="1395134223"/>
      </c:scatterChart>
      <c:valAx>
        <c:axId val="1390363327"/>
        <c:scaling>
          <c:orientation val="minMax"/>
        </c:scaling>
        <c:delete val="0"/>
        <c:axPos val="b"/>
        <c:title>
          <c:tx>
            <c:rich>
              <a:bodyPr rot="0" spcFirstLastPara="0" vertOverflow="ellipsis" vert="horz" wrap="square" anchor="ctr" anchorCtr="1"/>
              <a:lstStyle/>
              <a:p>
                <a:pPr>
                  <a:defRPr lang="ru-RU" sz="1000" b="1" i="0" u="none" strike="noStrike" kern="1200" baseline="0">
                    <a:solidFill>
                      <a:schemeClr val="tx1"/>
                    </a:solidFill>
                    <a:latin typeface="+mn-lt"/>
                    <a:ea typeface="+mn-ea"/>
                    <a:cs typeface="+mn-cs"/>
                  </a:defRPr>
                </a:pPr>
                <a:r>
                  <a:rPr lang="ru-RU"/>
                  <a:t>Уровень использования производственных мощностей, %, </a:t>
                </a:r>
                <a:r>
                  <a:rPr lang="en-US"/>
                  <a:t>X9</a:t>
                </a:r>
                <a:endParaRPr lang="en-US"/>
              </a:p>
            </c:rich>
          </c:tx>
          <c:layout/>
          <c:overlay val="0"/>
        </c:title>
        <c:numFmt formatCode="General" sourceLinked="1"/>
        <c:majorTickMark val="out"/>
        <c:minorTickMark val="none"/>
        <c:tickLblPos val="nextTo"/>
        <c:txPr>
          <a:bodyPr rot="-60000000" spcFirstLastPara="0" vertOverflow="ellipsis" vert="horz" wrap="square" anchor="ctr" anchorCtr="1"/>
          <a:lstStyle/>
          <a:p>
            <a:pPr>
              <a:defRPr lang="ru-RU" sz="1000" b="0" i="0" u="none" strike="noStrike" kern="1200" baseline="0">
                <a:solidFill>
                  <a:schemeClr val="tx1"/>
                </a:solidFill>
                <a:latin typeface="+mn-lt"/>
                <a:ea typeface="+mn-ea"/>
                <a:cs typeface="+mn-cs"/>
              </a:defRPr>
            </a:pPr>
          </a:p>
        </c:txPr>
        <c:crossAx val="1395134223"/>
        <c:crosses val="autoZero"/>
        <c:crossBetween val="midCat"/>
      </c:valAx>
      <c:valAx>
        <c:axId val="1395134223"/>
        <c:scaling>
          <c:orientation val="minMax"/>
        </c:scaling>
        <c:delete val="0"/>
        <c:axPos val="l"/>
        <c:title>
          <c:tx>
            <c:rich>
              <a:bodyPr rot="-5400000" spcFirstLastPara="0" vertOverflow="ellipsis" vert="horz" wrap="square" anchor="ctr" anchorCtr="1"/>
              <a:lstStyle/>
              <a:p>
                <a:pPr>
                  <a:defRPr lang="ru-RU" sz="1000" b="1" i="0" u="none" strike="noStrike" kern="1200" baseline="0">
                    <a:solidFill>
                      <a:schemeClr val="tx1"/>
                    </a:solidFill>
                    <a:latin typeface="+mn-lt"/>
                    <a:ea typeface="+mn-ea"/>
                    <a:cs typeface="+mn-cs"/>
                  </a:defRPr>
                </a:pPr>
                <a:r>
                  <a:rPr lang="ru-RU"/>
                  <a:t>Прибыль, млн руб., </a:t>
                </a:r>
                <a:r>
                  <a:rPr lang="en-US"/>
                  <a:t>Y</a:t>
                </a:r>
                <a:endParaRPr lang="en-US"/>
              </a:p>
            </c:rich>
          </c:tx>
          <c:layout/>
          <c:overlay val="0"/>
        </c:title>
        <c:numFmt formatCode="General" sourceLinked="1"/>
        <c:majorTickMark val="out"/>
        <c:minorTickMark val="none"/>
        <c:tickLblPos val="nextTo"/>
        <c:txPr>
          <a:bodyPr rot="-60000000" spcFirstLastPara="0" vertOverflow="ellipsis" vert="horz" wrap="square" anchor="ctr" anchorCtr="1"/>
          <a:lstStyle/>
          <a:p>
            <a:pPr>
              <a:defRPr lang="ru-RU" sz="1000" b="0" i="0" u="none" strike="noStrike" kern="1200" baseline="0">
                <a:solidFill>
                  <a:schemeClr val="tx1"/>
                </a:solidFill>
                <a:latin typeface="+mn-lt"/>
                <a:ea typeface="+mn-ea"/>
                <a:cs typeface="+mn-cs"/>
              </a:defRPr>
            </a:pPr>
          </a:p>
        </c:txPr>
        <c:crossAx val="1390363327"/>
        <c:crosses val="autoZero"/>
        <c:crossBetween val="midCat"/>
      </c:valAx>
    </c:plotArea>
    <c:legend>
      <c:legendPos val="r"/>
      <c:layout/>
      <c:overlay val="0"/>
      <c:txPr>
        <a:bodyPr rot="0" spcFirstLastPara="0" vertOverflow="ellipsis" vert="horz" wrap="square" anchor="ctr" anchorCtr="1"/>
        <a:lstStyle/>
        <a:p>
          <a:pPr>
            <a:defRPr lang="ru-RU" sz="1000" b="0" i="0" u="none" strike="noStrike" kern="1200" baseline="0">
              <a:solidFill>
                <a:schemeClr val="tx1"/>
              </a:solidFill>
              <a:latin typeface="+mn-lt"/>
              <a:ea typeface="+mn-ea"/>
              <a:cs typeface="+mn-cs"/>
            </a:defRPr>
          </a:pPr>
        </a:p>
      </c:txPr>
    </c:legend>
    <c:plotVisOnly val="1"/>
    <c:dispBlanksAs val="gap"/>
    <c:showDLblsOverMax val="0"/>
    <c:extLst>
      <c:ext uri="{0b15fc19-7d7d-44ad-8c2d-2c3a37ce22c3}">
        <chartProps xmlns="https://web.wps.cn/et/2018/main" chartId="{f362b1c3-df34-4d7c-b6e9-4f9633c71cec}"/>
      </c:ext>
    </c:extLst>
  </c:chart>
  <c:txPr>
    <a:bodyPr/>
    <a:lstStyle/>
    <a:p>
      <a:pPr>
        <a:defRPr lang="ru-RU"/>
      </a:pPr>
    </a:p>
  </c:txPr>
  <c:printSettings>
    <c:headerFooter/>
    <c:pageMargins b="0.75" l="0.7" r="0.7" t="0.75" header="0.3" footer="0.3"/>
    <c:pageSetup/>
  </c:printSettings>
</c:chartSpace>
</file>

<file path=xl/charts/chart55.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0" vertOverflow="ellipsis" vert="horz" wrap="square" anchor="ctr" anchorCtr="1"/>
          <a:lstStyle/>
          <a:p>
            <a:pPr>
              <a:defRPr lang="ru-RU" sz="1800" b="1" i="0" u="none" strike="noStrike" kern="1200" baseline="0">
                <a:solidFill>
                  <a:schemeClr val="tx1"/>
                </a:solidFill>
                <a:latin typeface="+mn-lt"/>
                <a:ea typeface="+mn-ea"/>
                <a:cs typeface="+mn-cs"/>
              </a:defRPr>
            </a:pPr>
            <a:r>
              <a:rPr lang="ru-RU"/>
              <a:t>График нормального распределения</a:t>
            </a:r>
            <a:endParaRPr lang="ru-RU"/>
          </a:p>
        </c:rich>
      </c:tx>
      <c:layout/>
      <c:overlay val="0"/>
    </c:title>
    <c:autoTitleDeleted val="0"/>
    <c:plotArea>
      <c:layout/>
      <c:scatterChart>
        <c:scatterStyle val="marker"/>
        <c:varyColors val="0"/>
        <c:ser>
          <c:idx val="0"/>
          <c:order val="0"/>
          <c:spPr>
            <a:ln w="19050" cap="rnd" cmpd="sng" algn="ctr">
              <a:noFill/>
              <a:prstDash val="solid"/>
              <a:round/>
            </a:ln>
          </c:spPr>
          <c:dLbls>
            <c:delete val="1"/>
          </c:dLbls>
          <c:xVal>
            <c:numRef>
              <c:f>'Анализ данных 6'!$F$27:$F$56</c:f>
              <c:numCache>
                <c:formatCode>General</c:formatCode>
                <c:ptCount val="30"/>
                <c:pt idx="0">
                  <c:v>1.66666666666667</c:v>
                </c:pt>
                <c:pt idx="1">
                  <c:v>5</c:v>
                </c:pt>
                <c:pt idx="2">
                  <c:v>8.33333333333333</c:v>
                </c:pt>
                <c:pt idx="3">
                  <c:v>11.6666666666667</c:v>
                </c:pt>
                <c:pt idx="4">
                  <c:v>15</c:v>
                </c:pt>
                <c:pt idx="5">
                  <c:v>18.3333333333333</c:v>
                </c:pt>
                <c:pt idx="6">
                  <c:v>21.6666666666667</c:v>
                </c:pt>
                <c:pt idx="7">
                  <c:v>25</c:v>
                </c:pt>
                <c:pt idx="8">
                  <c:v>28.3333333333333</c:v>
                </c:pt>
                <c:pt idx="9">
                  <c:v>31.6666666666667</c:v>
                </c:pt>
                <c:pt idx="10">
                  <c:v>35</c:v>
                </c:pt>
                <c:pt idx="11">
                  <c:v>38.3333333333333</c:v>
                </c:pt>
                <c:pt idx="12">
                  <c:v>41.6666666666667</c:v>
                </c:pt>
                <c:pt idx="13">
                  <c:v>45</c:v>
                </c:pt>
                <c:pt idx="14">
                  <c:v>48.3333333333333</c:v>
                </c:pt>
                <c:pt idx="15">
                  <c:v>51.6666666666667</c:v>
                </c:pt>
                <c:pt idx="16">
                  <c:v>55</c:v>
                </c:pt>
                <c:pt idx="17">
                  <c:v>58.3333333333333</c:v>
                </c:pt>
                <c:pt idx="18">
                  <c:v>61.6666666666667</c:v>
                </c:pt>
                <c:pt idx="19">
                  <c:v>65</c:v>
                </c:pt>
                <c:pt idx="20">
                  <c:v>68.3333333333333</c:v>
                </c:pt>
                <c:pt idx="21">
                  <c:v>71.6666666666667</c:v>
                </c:pt>
                <c:pt idx="22">
                  <c:v>75</c:v>
                </c:pt>
                <c:pt idx="23">
                  <c:v>78.3333333333333</c:v>
                </c:pt>
                <c:pt idx="24">
                  <c:v>81.6666666666667</c:v>
                </c:pt>
                <c:pt idx="25">
                  <c:v>85</c:v>
                </c:pt>
                <c:pt idx="26">
                  <c:v>88.3333333333333</c:v>
                </c:pt>
                <c:pt idx="27">
                  <c:v>91.6666666666667</c:v>
                </c:pt>
                <c:pt idx="28">
                  <c:v>95</c:v>
                </c:pt>
                <c:pt idx="29">
                  <c:v>98.3333333333333</c:v>
                </c:pt>
              </c:numCache>
            </c:numRef>
          </c:xVal>
          <c:yVal>
            <c:numRef>
              <c:f>'Анализ данных 6'!$G$27:$G$56</c:f>
              <c:numCache>
                <c:formatCode>General</c:formatCode>
                <c:ptCount val="30"/>
                <c:pt idx="0">
                  <c:v>335</c:v>
                </c:pt>
                <c:pt idx="1">
                  <c:v>336</c:v>
                </c:pt>
                <c:pt idx="2">
                  <c:v>388</c:v>
                </c:pt>
                <c:pt idx="3">
                  <c:v>420</c:v>
                </c:pt>
                <c:pt idx="4">
                  <c:v>450</c:v>
                </c:pt>
                <c:pt idx="5">
                  <c:v>450</c:v>
                </c:pt>
                <c:pt idx="6">
                  <c:v>500</c:v>
                </c:pt>
                <c:pt idx="7">
                  <c:v>520</c:v>
                </c:pt>
                <c:pt idx="8">
                  <c:v>550</c:v>
                </c:pt>
                <c:pt idx="9">
                  <c:v>600</c:v>
                </c:pt>
                <c:pt idx="10">
                  <c:v>605</c:v>
                </c:pt>
                <c:pt idx="11">
                  <c:v>620</c:v>
                </c:pt>
                <c:pt idx="12">
                  <c:v>630</c:v>
                </c:pt>
                <c:pt idx="13">
                  <c:v>655</c:v>
                </c:pt>
                <c:pt idx="14">
                  <c:v>690</c:v>
                </c:pt>
                <c:pt idx="15">
                  <c:v>690</c:v>
                </c:pt>
                <c:pt idx="16">
                  <c:v>710</c:v>
                </c:pt>
                <c:pt idx="17">
                  <c:v>720</c:v>
                </c:pt>
                <c:pt idx="18">
                  <c:v>745</c:v>
                </c:pt>
                <c:pt idx="19">
                  <c:v>760</c:v>
                </c:pt>
                <c:pt idx="20">
                  <c:v>780</c:v>
                </c:pt>
                <c:pt idx="21">
                  <c:v>840</c:v>
                </c:pt>
                <c:pt idx="22">
                  <c:v>845</c:v>
                </c:pt>
                <c:pt idx="23">
                  <c:v>850</c:v>
                </c:pt>
                <c:pt idx="24">
                  <c:v>860</c:v>
                </c:pt>
                <c:pt idx="25">
                  <c:v>890</c:v>
                </c:pt>
                <c:pt idx="26">
                  <c:v>940</c:v>
                </c:pt>
                <c:pt idx="27">
                  <c:v>960</c:v>
                </c:pt>
                <c:pt idx="28">
                  <c:v>980</c:v>
                </c:pt>
                <c:pt idx="29">
                  <c:v>990</c:v>
                </c:pt>
              </c:numCache>
            </c:numRef>
          </c:yVal>
          <c:smooth val="0"/>
        </c:ser>
        <c:dLbls>
          <c:showLegendKey val="0"/>
          <c:showVal val="0"/>
          <c:showCatName val="0"/>
          <c:showSerName val="0"/>
          <c:showPercent val="0"/>
          <c:showBubbleSize val="0"/>
        </c:dLbls>
        <c:axId val="1390361327"/>
        <c:axId val="1395155023"/>
      </c:scatterChart>
      <c:valAx>
        <c:axId val="1390361327"/>
        <c:scaling>
          <c:orientation val="minMax"/>
        </c:scaling>
        <c:delete val="0"/>
        <c:axPos val="b"/>
        <c:title>
          <c:tx>
            <c:rich>
              <a:bodyPr rot="0" spcFirstLastPara="0" vertOverflow="ellipsis" vert="horz" wrap="square" anchor="ctr" anchorCtr="1"/>
              <a:lstStyle/>
              <a:p>
                <a:pPr>
                  <a:defRPr lang="ru-RU" sz="1000" b="1" i="0" u="none" strike="noStrike" kern="1200" baseline="0">
                    <a:solidFill>
                      <a:schemeClr val="tx1"/>
                    </a:solidFill>
                    <a:latin typeface="+mn-lt"/>
                    <a:ea typeface="+mn-ea"/>
                    <a:cs typeface="+mn-cs"/>
                  </a:defRPr>
                </a:pPr>
                <a:r>
                  <a:rPr lang="ru-RU"/>
                  <a:t>Персентиль выборки</a:t>
                </a:r>
                <a:endParaRPr lang="ru-RU"/>
              </a:p>
            </c:rich>
          </c:tx>
          <c:layout/>
          <c:overlay val="0"/>
        </c:title>
        <c:numFmt formatCode="General" sourceLinked="1"/>
        <c:majorTickMark val="out"/>
        <c:minorTickMark val="none"/>
        <c:tickLblPos val="nextTo"/>
        <c:txPr>
          <a:bodyPr rot="-60000000" spcFirstLastPara="0" vertOverflow="ellipsis" vert="horz" wrap="square" anchor="ctr" anchorCtr="1"/>
          <a:lstStyle/>
          <a:p>
            <a:pPr>
              <a:defRPr lang="ru-RU" sz="1000" b="0" i="0" u="none" strike="noStrike" kern="1200" baseline="0">
                <a:solidFill>
                  <a:schemeClr val="tx1"/>
                </a:solidFill>
                <a:latin typeface="+mn-lt"/>
                <a:ea typeface="+mn-ea"/>
                <a:cs typeface="+mn-cs"/>
              </a:defRPr>
            </a:pPr>
          </a:p>
        </c:txPr>
        <c:crossAx val="1395155023"/>
        <c:crosses val="autoZero"/>
        <c:crossBetween val="midCat"/>
      </c:valAx>
      <c:valAx>
        <c:axId val="1395155023"/>
        <c:scaling>
          <c:orientation val="minMax"/>
        </c:scaling>
        <c:delete val="0"/>
        <c:axPos val="l"/>
        <c:title>
          <c:tx>
            <c:rich>
              <a:bodyPr rot="-5400000" spcFirstLastPara="0" vertOverflow="ellipsis" vert="horz" wrap="square" anchor="ctr" anchorCtr="1"/>
              <a:lstStyle/>
              <a:p>
                <a:pPr>
                  <a:defRPr lang="ru-RU" sz="1000" b="1" i="0" u="none" strike="noStrike" kern="1200" baseline="0">
                    <a:solidFill>
                      <a:schemeClr val="tx1"/>
                    </a:solidFill>
                    <a:latin typeface="+mn-lt"/>
                    <a:ea typeface="+mn-ea"/>
                    <a:cs typeface="+mn-cs"/>
                  </a:defRPr>
                </a:pPr>
                <a:r>
                  <a:rPr lang="ru-RU"/>
                  <a:t>Прибыль, млн руб., </a:t>
                </a:r>
                <a:r>
                  <a:rPr lang="en-US"/>
                  <a:t>Y</a:t>
                </a:r>
                <a:endParaRPr lang="en-US"/>
              </a:p>
            </c:rich>
          </c:tx>
          <c:layout/>
          <c:overlay val="0"/>
        </c:title>
        <c:numFmt formatCode="General" sourceLinked="1"/>
        <c:majorTickMark val="out"/>
        <c:minorTickMark val="none"/>
        <c:tickLblPos val="nextTo"/>
        <c:txPr>
          <a:bodyPr rot="-60000000" spcFirstLastPara="0" vertOverflow="ellipsis" vert="horz" wrap="square" anchor="ctr" anchorCtr="1"/>
          <a:lstStyle/>
          <a:p>
            <a:pPr>
              <a:defRPr lang="ru-RU" sz="1000" b="0" i="0" u="none" strike="noStrike" kern="1200" baseline="0">
                <a:solidFill>
                  <a:schemeClr val="tx1"/>
                </a:solidFill>
                <a:latin typeface="+mn-lt"/>
                <a:ea typeface="+mn-ea"/>
                <a:cs typeface="+mn-cs"/>
              </a:defRPr>
            </a:pPr>
          </a:p>
        </c:txPr>
        <c:crossAx val="1390361327"/>
        <c:crosses val="autoZero"/>
        <c:crossBetween val="midCat"/>
      </c:valAx>
    </c:plotArea>
    <c:plotVisOnly val="1"/>
    <c:dispBlanksAs val="gap"/>
    <c:showDLblsOverMax val="0"/>
    <c:extLst>
      <c:ext uri="{0b15fc19-7d7d-44ad-8c2d-2c3a37ce22c3}">
        <chartProps xmlns="https://web.wps.cn/et/2018/main" chartId="{15f04275-558c-45e4-9984-45480b8582bc}"/>
      </c:ext>
    </c:extLst>
  </c:chart>
  <c:txPr>
    <a:bodyPr/>
    <a:lstStyle/>
    <a:p>
      <a:pPr>
        <a:defRPr lang="ru-RU"/>
      </a:pPr>
    </a:p>
  </c:txPr>
  <c:printSettings>
    <c:headerFooter/>
    <c:pageMargins b="0.75" l="0.7" r="0.7" t="0.75" header="0.3" footer="0.3"/>
    <c:pageSetup/>
  </c:printSettings>
</c:chartSpace>
</file>

<file path=xl/charts/chart56.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0" vertOverflow="ellipsis" vert="horz" wrap="square" anchor="ctr" anchorCtr="1"/>
          <a:lstStyle/>
          <a:p>
            <a:pPr>
              <a:defRPr lang="ru-RU" sz="1800" b="1" i="0" u="none" strike="noStrike" kern="1200" baseline="0">
                <a:solidFill>
                  <a:schemeClr val="tx1"/>
                </a:solidFill>
                <a:latin typeface="+mn-lt"/>
                <a:ea typeface="+mn-ea"/>
                <a:cs typeface="+mn-cs"/>
              </a:defRPr>
            </a:pPr>
            <a:r>
              <a:rPr lang="ru-RU"/>
              <a:t>Среднесписочная численность работников, чел., </a:t>
            </a:r>
            <a:r>
              <a:rPr lang="en-US"/>
              <a:t>X2 </a:t>
            </a:r>
            <a:r>
              <a:rPr lang="ru-RU"/>
              <a:t>График остатков</a:t>
            </a:r>
            <a:endParaRPr lang="ru-RU"/>
          </a:p>
        </c:rich>
      </c:tx>
      <c:layout/>
      <c:overlay val="0"/>
    </c:title>
    <c:autoTitleDeleted val="0"/>
    <c:plotArea>
      <c:layout/>
      <c:scatterChart>
        <c:scatterStyle val="marker"/>
        <c:varyColors val="0"/>
        <c:ser>
          <c:idx val="0"/>
          <c:order val="0"/>
          <c:spPr>
            <a:ln w="19050" cap="rnd" cmpd="sng" algn="ctr">
              <a:noFill/>
              <a:prstDash val="solid"/>
              <a:round/>
            </a:ln>
          </c:spPr>
          <c:dLbls>
            <c:delete val="1"/>
          </c:dLbls>
          <c:xVal>
            <c:numRef>
              <c:f>'Исходные данные 7'!$C$2:$C$31</c:f>
              <c:numCache>
                <c:formatCode>General</c:formatCode>
                <c:ptCount val="30"/>
                <c:pt idx="0">
                  <c:v>500</c:v>
                </c:pt>
                <c:pt idx="1">
                  <c:v>510</c:v>
                </c:pt>
                <c:pt idx="2">
                  <c:v>509</c:v>
                </c:pt>
                <c:pt idx="3">
                  <c:v>515</c:v>
                </c:pt>
                <c:pt idx="4">
                  <c:v>520</c:v>
                </c:pt>
                <c:pt idx="5">
                  <c:v>519</c:v>
                </c:pt>
                <c:pt idx="6">
                  <c:v>525</c:v>
                </c:pt>
                <c:pt idx="7">
                  <c:v>526</c:v>
                </c:pt>
                <c:pt idx="8">
                  <c:v>530</c:v>
                </c:pt>
                <c:pt idx="9">
                  <c:v>550</c:v>
                </c:pt>
                <c:pt idx="10">
                  <c:v>570</c:v>
                </c:pt>
                <c:pt idx="11">
                  <c:v>560</c:v>
                </c:pt>
                <c:pt idx="12">
                  <c:v>555</c:v>
                </c:pt>
                <c:pt idx="13">
                  <c:v>555</c:v>
                </c:pt>
                <c:pt idx="14">
                  <c:v>560</c:v>
                </c:pt>
                <c:pt idx="15">
                  <c:v>560</c:v>
                </c:pt>
                <c:pt idx="16">
                  <c:v>562</c:v>
                </c:pt>
                <c:pt idx="17">
                  <c:v>580</c:v>
                </c:pt>
                <c:pt idx="18">
                  <c:v>581</c:v>
                </c:pt>
                <c:pt idx="19">
                  <c:v>582</c:v>
                </c:pt>
                <c:pt idx="20">
                  <c:v>585</c:v>
                </c:pt>
                <c:pt idx="21">
                  <c:v>590</c:v>
                </c:pt>
                <c:pt idx="22">
                  <c:v>601</c:v>
                </c:pt>
                <c:pt idx="23">
                  <c:v>612</c:v>
                </c:pt>
                <c:pt idx="24">
                  <c:v>610</c:v>
                </c:pt>
                <c:pt idx="25">
                  <c:v>611</c:v>
                </c:pt>
                <c:pt idx="26">
                  <c:v>615</c:v>
                </c:pt>
                <c:pt idx="27">
                  <c:v>620</c:v>
                </c:pt>
                <c:pt idx="28">
                  <c:v>621</c:v>
                </c:pt>
                <c:pt idx="29">
                  <c:v>622</c:v>
                </c:pt>
              </c:numCache>
            </c:numRef>
          </c:xVal>
          <c:yVal>
            <c:numRef>
              <c:f>'Анализ данных 7'!$C$26:$C$55</c:f>
              <c:numCache>
                <c:formatCode>General</c:formatCode>
                <c:ptCount val="30"/>
                <c:pt idx="0">
                  <c:v>-13.8470036517569</c:v>
                </c:pt>
                <c:pt idx="1">
                  <c:v>-61.6182617307118</c:v>
                </c:pt>
                <c:pt idx="2">
                  <c:v>-5.26656548329123</c:v>
                </c:pt>
                <c:pt idx="3">
                  <c:v>-4.63103857256488</c:v>
                </c:pt>
                <c:pt idx="4">
                  <c:v>0.691427076582613</c:v>
                </c:pt>
                <c:pt idx="5">
                  <c:v>6.21074456950345</c:v>
                </c:pt>
                <c:pt idx="6">
                  <c:v>27.1815139712304</c:v>
                </c:pt>
                <c:pt idx="7">
                  <c:v>42.2460071010602</c:v>
                </c:pt>
                <c:pt idx="8">
                  <c:v>52.5039796203779</c:v>
                </c:pt>
                <c:pt idx="9">
                  <c:v>3.7938422169683</c:v>
                </c:pt>
                <c:pt idx="10">
                  <c:v>-94.0029695456927</c:v>
                </c:pt>
                <c:pt idx="11">
                  <c:v>-31.3993327122382</c:v>
                </c:pt>
                <c:pt idx="12">
                  <c:v>-4.3113364571376</c:v>
                </c:pt>
                <c:pt idx="13">
                  <c:v>18.3534210518619</c:v>
                </c:pt>
                <c:pt idx="14">
                  <c:v>27.5082654555091</c:v>
                </c:pt>
                <c:pt idx="15">
                  <c:v>25.1730229645085</c:v>
                </c:pt>
                <c:pt idx="16">
                  <c:v>34.1343879786673</c:v>
                </c:pt>
                <c:pt idx="17">
                  <c:v>-44.7047356844018</c:v>
                </c:pt>
                <c:pt idx="18">
                  <c:v>-18.8021363270711</c:v>
                </c:pt>
                <c:pt idx="19">
                  <c:v>-2.89953696973987</c:v>
                </c:pt>
                <c:pt idx="20">
                  <c:v>6.38061677899952</c:v>
                </c:pt>
                <c:pt idx="21">
                  <c:v>42.8707036736473</c:v>
                </c:pt>
                <c:pt idx="22">
                  <c:v>-6.41987189822794</c:v>
                </c:pt>
                <c:pt idx="23">
                  <c:v>-55.7104474701036</c:v>
                </c:pt>
                <c:pt idx="24">
                  <c:v>-37.007054975263</c:v>
                </c:pt>
                <c:pt idx="25">
                  <c:v>-14.2778043364337</c:v>
                </c:pt>
                <c:pt idx="26">
                  <c:v>18.8992212966347</c:v>
                </c:pt>
                <c:pt idx="27">
                  <c:v>18.8921719277837</c:v>
                </c:pt>
                <c:pt idx="28">
                  <c:v>34.5404756803632</c:v>
                </c:pt>
                <c:pt idx="29">
                  <c:v>35.5182944509415</c:v>
                </c:pt>
              </c:numCache>
            </c:numRef>
          </c:yVal>
          <c:smooth val="0"/>
        </c:ser>
        <c:dLbls>
          <c:showLegendKey val="0"/>
          <c:showVal val="0"/>
          <c:showCatName val="0"/>
          <c:showSerName val="0"/>
          <c:showPercent val="0"/>
          <c:showBubbleSize val="0"/>
        </c:dLbls>
        <c:axId val="1391377135"/>
        <c:axId val="1235810463"/>
      </c:scatterChart>
      <c:valAx>
        <c:axId val="1391377135"/>
        <c:scaling>
          <c:orientation val="minMax"/>
        </c:scaling>
        <c:delete val="0"/>
        <c:axPos val="b"/>
        <c:title>
          <c:tx>
            <c:rich>
              <a:bodyPr rot="0" spcFirstLastPara="0" vertOverflow="ellipsis" vert="horz" wrap="square" anchor="ctr" anchorCtr="1"/>
              <a:lstStyle/>
              <a:p>
                <a:pPr>
                  <a:defRPr lang="ru-RU" sz="1000" b="1" i="0" u="none" strike="noStrike" kern="1200" baseline="0">
                    <a:solidFill>
                      <a:schemeClr val="tx1"/>
                    </a:solidFill>
                    <a:latin typeface="+mn-lt"/>
                    <a:ea typeface="+mn-ea"/>
                    <a:cs typeface="+mn-cs"/>
                  </a:defRPr>
                </a:pPr>
                <a:r>
                  <a:rPr lang="ru-RU"/>
                  <a:t>Среднесписочная численность работников, чел., </a:t>
                </a:r>
                <a:r>
                  <a:rPr lang="en-US"/>
                  <a:t>X2</a:t>
                </a:r>
                <a:endParaRPr lang="en-US"/>
              </a:p>
            </c:rich>
          </c:tx>
          <c:layout/>
          <c:overlay val="0"/>
        </c:title>
        <c:numFmt formatCode="General" sourceLinked="1"/>
        <c:majorTickMark val="out"/>
        <c:minorTickMark val="none"/>
        <c:tickLblPos val="nextTo"/>
        <c:txPr>
          <a:bodyPr rot="-60000000" spcFirstLastPara="0" vertOverflow="ellipsis" vert="horz" wrap="square" anchor="ctr" anchorCtr="1"/>
          <a:lstStyle/>
          <a:p>
            <a:pPr>
              <a:defRPr lang="ru-RU" sz="1000" b="0" i="0" u="none" strike="noStrike" kern="1200" baseline="0">
                <a:solidFill>
                  <a:schemeClr val="tx1"/>
                </a:solidFill>
                <a:latin typeface="+mn-lt"/>
                <a:ea typeface="+mn-ea"/>
                <a:cs typeface="+mn-cs"/>
              </a:defRPr>
            </a:pPr>
          </a:p>
        </c:txPr>
        <c:crossAx val="1235810463"/>
        <c:crosses val="autoZero"/>
        <c:crossBetween val="midCat"/>
      </c:valAx>
      <c:valAx>
        <c:axId val="1235810463"/>
        <c:scaling>
          <c:orientation val="minMax"/>
        </c:scaling>
        <c:delete val="0"/>
        <c:axPos val="l"/>
        <c:title>
          <c:tx>
            <c:rich>
              <a:bodyPr rot="-5400000" spcFirstLastPara="0" vertOverflow="ellipsis" vert="horz" wrap="square" anchor="ctr" anchorCtr="1"/>
              <a:lstStyle/>
              <a:p>
                <a:pPr>
                  <a:defRPr lang="ru-RU" sz="1000" b="1" i="0" u="none" strike="noStrike" kern="1200" baseline="0">
                    <a:solidFill>
                      <a:schemeClr val="tx1"/>
                    </a:solidFill>
                    <a:latin typeface="+mn-lt"/>
                    <a:ea typeface="+mn-ea"/>
                    <a:cs typeface="+mn-cs"/>
                  </a:defRPr>
                </a:pPr>
                <a:r>
                  <a:rPr lang="ru-RU"/>
                  <a:t>Остатки</a:t>
                </a:r>
                <a:endParaRPr lang="ru-RU"/>
              </a:p>
            </c:rich>
          </c:tx>
          <c:layout/>
          <c:overlay val="0"/>
        </c:title>
        <c:numFmt formatCode="General" sourceLinked="1"/>
        <c:majorTickMark val="out"/>
        <c:minorTickMark val="none"/>
        <c:tickLblPos val="nextTo"/>
        <c:txPr>
          <a:bodyPr rot="-60000000" spcFirstLastPara="0" vertOverflow="ellipsis" vert="horz" wrap="square" anchor="ctr" anchorCtr="1"/>
          <a:lstStyle/>
          <a:p>
            <a:pPr>
              <a:defRPr lang="ru-RU" sz="1000" b="0" i="0" u="none" strike="noStrike" kern="1200" baseline="0">
                <a:solidFill>
                  <a:schemeClr val="tx1"/>
                </a:solidFill>
                <a:latin typeface="+mn-lt"/>
                <a:ea typeface="+mn-ea"/>
                <a:cs typeface="+mn-cs"/>
              </a:defRPr>
            </a:pPr>
          </a:p>
        </c:txPr>
        <c:crossAx val="1391377135"/>
        <c:crosses val="autoZero"/>
        <c:crossBetween val="midCat"/>
      </c:valAx>
    </c:plotArea>
    <c:plotVisOnly val="1"/>
    <c:dispBlanksAs val="gap"/>
    <c:showDLblsOverMax val="0"/>
    <c:extLst>
      <c:ext uri="{0b15fc19-7d7d-44ad-8c2d-2c3a37ce22c3}">
        <chartProps xmlns="https://web.wps.cn/et/2018/main" chartId="{fe2accfb-44e9-40d7-95f3-4fc7f6825e54}"/>
      </c:ext>
    </c:extLst>
  </c:chart>
  <c:txPr>
    <a:bodyPr/>
    <a:lstStyle/>
    <a:p>
      <a:pPr>
        <a:defRPr lang="ru-RU"/>
      </a:pPr>
    </a:p>
  </c:txPr>
  <c:printSettings>
    <c:headerFooter/>
    <c:pageMargins b="0.75" l="0.7" r="0.7" t="0.75" header="0.3" footer="0.3"/>
    <c:pageSetup/>
  </c:printSettings>
</c:chartSpace>
</file>

<file path=xl/charts/chart57.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0" vertOverflow="ellipsis" vert="horz" wrap="square" anchor="ctr" anchorCtr="1"/>
          <a:lstStyle/>
          <a:p>
            <a:pPr>
              <a:defRPr lang="ru-RU" sz="1800" b="1" i="0" u="none" strike="noStrike" kern="1200" baseline="0">
                <a:solidFill>
                  <a:schemeClr val="tx1"/>
                </a:solidFill>
                <a:latin typeface="+mn-lt"/>
                <a:ea typeface="+mn-ea"/>
                <a:cs typeface="+mn-cs"/>
              </a:defRPr>
            </a:pPr>
            <a:r>
              <a:rPr lang="ru-RU"/>
              <a:t>Уровень использования производственных мощностей, %, </a:t>
            </a:r>
            <a:r>
              <a:rPr lang="en-US"/>
              <a:t>X9 </a:t>
            </a:r>
            <a:r>
              <a:rPr lang="ru-RU"/>
              <a:t>График остатков</a:t>
            </a:r>
            <a:endParaRPr lang="ru-RU"/>
          </a:p>
        </c:rich>
      </c:tx>
      <c:layout/>
      <c:overlay val="0"/>
    </c:title>
    <c:autoTitleDeleted val="0"/>
    <c:plotArea>
      <c:layout/>
      <c:scatterChart>
        <c:scatterStyle val="marker"/>
        <c:varyColors val="0"/>
        <c:ser>
          <c:idx val="0"/>
          <c:order val="0"/>
          <c:spPr>
            <a:ln w="19050" cap="rnd" cmpd="sng" algn="ctr">
              <a:noFill/>
              <a:prstDash val="solid"/>
              <a:round/>
            </a:ln>
          </c:spPr>
          <c:dLbls>
            <c:delete val="1"/>
          </c:dLbls>
          <c:xVal>
            <c:numRef>
              <c:f>'Исходные данные 7'!$D$2:$D$31</c:f>
              <c:numCache>
                <c:formatCode>General</c:formatCode>
                <c:ptCount val="30"/>
                <c:pt idx="0">
                  <c:v>96</c:v>
                </c:pt>
                <c:pt idx="1">
                  <c:v>97</c:v>
                </c:pt>
                <c:pt idx="2">
                  <c:v>96</c:v>
                </c:pt>
                <c:pt idx="3">
                  <c:v>93</c:v>
                </c:pt>
                <c:pt idx="4">
                  <c:v>93</c:v>
                </c:pt>
                <c:pt idx="5">
                  <c:v>94</c:v>
                </c:pt>
                <c:pt idx="6">
                  <c:v>95</c:v>
                </c:pt>
                <c:pt idx="7">
                  <c:v>95</c:v>
                </c:pt>
                <c:pt idx="8">
                  <c:v>95</c:v>
                </c:pt>
                <c:pt idx="9">
                  <c:v>95</c:v>
                </c:pt>
                <c:pt idx="10">
                  <c:v>88</c:v>
                </c:pt>
                <c:pt idx="11">
                  <c:v>85</c:v>
                </c:pt>
                <c:pt idx="12">
                  <c:v>72</c:v>
                </c:pt>
                <c:pt idx="13">
                  <c:v>68</c:v>
                </c:pt>
                <c:pt idx="14">
                  <c:v>66</c:v>
                </c:pt>
                <c:pt idx="15">
                  <c:v>62</c:v>
                </c:pt>
                <c:pt idx="16">
                  <c:v>60</c:v>
                </c:pt>
                <c:pt idx="17">
                  <c:v>60</c:v>
                </c:pt>
                <c:pt idx="18">
                  <c:v>70</c:v>
                </c:pt>
                <c:pt idx="19">
                  <c:v>80</c:v>
                </c:pt>
                <c:pt idx="20">
                  <c:v>87</c:v>
                </c:pt>
                <c:pt idx="21">
                  <c:v>89</c:v>
                </c:pt>
                <c:pt idx="22">
                  <c:v>89</c:v>
                </c:pt>
                <c:pt idx="23">
                  <c:v>89</c:v>
                </c:pt>
                <c:pt idx="24">
                  <c:v>87</c:v>
                </c:pt>
                <c:pt idx="25">
                  <c:v>83</c:v>
                </c:pt>
                <c:pt idx="26">
                  <c:v>88</c:v>
                </c:pt>
                <c:pt idx="27">
                  <c:v>96</c:v>
                </c:pt>
                <c:pt idx="28">
                  <c:v>97</c:v>
                </c:pt>
                <c:pt idx="29">
                  <c:v>90</c:v>
                </c:pt>
              </c:numCache>
            </c:numRef>
          </c:xVal>
          <c:yVal>
            <c:numRef>
              <c:f>'Анализ данных 7'!$C$26:$C$55</c:f>
              <c:numCache>
                <c:formatCode>General</c:formatCode>
                <c:ptCount val="30"/>
                <c:pt idx="0">
                  <c:v>-13.8470036517569</c:v>
                </c:pt>
                <c:pt idx="1">
                  <c:v>-61.6182617307118</c:v>
                </c:pt>
                <c:pt idx="2">
                  <c:v>-5.26656548329123</c:v>
                </c:pt>
                <c:pt idx="3">
                  <c:v>-4.63103857256488</c:v>
                </c:pt>
                <c:pt idx="4">
                  <c:v>0.691427076582613</c:v>
                </c:pt>
                <c:pt idx="5">
                  <c:v>6.21074456950345</c:v>
                </c:pt>
                <c:pt idx="6">
                  <c:v>27.1815139712304</c:v>
                </c:pt>
                <c:pt idx="7">
                  <c:v>42.2460071010602</c:v>
                </c:pt>
                <c:pt idx="8">
                  <c:v>52.5039796203779</c:v>
                </c:pt>
                <c:pt idx="9">
                  <c:v>3.7938422169683</c:v>
                </c:pt>
                <c:pt idx="10">
                  <c:v>-94.0029695456927</c:v>
                </c:pt>
                <c:pt idx="11">
                  <c:v>-31.3993327122382</c:v>
                </c:pt>
                <c:pt idx="12">
                  <c:v>-4.3113364571376</c:v>
                </c:pt>
                <c:pt idx="13">
                  <c:v>18.3534210518619</c:v>
                </c:pt>
                <c:pt idx="14">
                  <c:v>27.5082654555091</c:v>
                </c:pt>
                <c:pt idx="15">
                  <c:v>25.1730229645085</c:v>
                </c:pt>
                <c:pt idx="16">
                  <c:v>34.1343879786673</c:v>
                </c:pt>
                <c:pt idx="17">
                  <c:v>-44.7047356844018</c:v>
                </c:pt>
                <c:pt idx="18">
                  <c:v>-18.8021363270711</c:v>
                </c:pt>
                <c:pt idx="19">
                  <c:v>-2.89953696973987</c:v>
                </c:pt>
                <c:pt idx="20">
                  <c:v>6.38061677899952</c:v>
                </c:pt>
                <c:pt idx="21">
                  <c:v>42.8707036736473</c:v>
                </c:pt>
                <c:pt idx="22">
                  <c:v>-6.41987189822794</c:v>
                </c:pt>
                <c:pt idx="23">
                  <c:v>-55.7104474701036</c:v>
                </c:pt>
                <c:pt idx="24">
                  <c:v>-37.007054975263</c:v>
                </c:pt>
                <c:pt idx="25">
                  <c:v>-14.2778043364337</c:v>
                </c:pt>
                <c:pt idx="26">
                  <c:v>18.8992212966347</c:v>
                </c:pt>
                <c:pt idx="27">
                  <c:v>18.8921719277837</c:v>
                </c:pt>
                <c:pt idx="28">
                  <c:v>34.5404756803632</c:v>
                </c:pt>
                <c:pt idx="29">
                  <c:v>35.5182944509415</c:v>
                </c:pt>
              </c:numCache>
            </c:numRef>
          </c:yVal>
          <c:smooth val="0"/>
        </c:ser>
        <c:dLbls>
          <c:showLegendKey val="0"/>
          <c:showVal val="0"/>
          <c:showCatName val="0"/>
          <c:showSerName val="0"/>
          <c:showPercent val="0"/>
          <c:showBubbleSize val="0"/>
        </c:dLbls>
        <c:axId val="1391381135"/>
        <c:axId val="1235797151"/>
      </c:scatterChart>
      <c:valAx>
        <c:axId val="1391381135"/>
        <c:scaling>
          <c:orientation val="minMax"/>
        </c:scaling>
        <c:delete val="0"/>
        <c:axPos val="b"/>
        <c:title>
          <c:tx>
            <c:rich>
              <a:bodyPr rot="0" spcFirstLastPara="0" vertOverflow="ellipsis" vert="horz" wrap="square" anchor="ctr" anchorCtr="1"/>
              <a:lstStyle/>
              <a:p>
                <a:pPr>
                  <a:defRPr lang="ru-RU" sz="1000" b="1" i="0" u="none" strike="noStrike" kern="1200" baseline="0">
                    <a:solidFill>
                      <a:schemeClr val="tx1"/>
                    </a:solidFill>
                    <a:latin typeface="+mn-lt"/>
                    <a:ea typeface="+mn-ea"/>
                    <a:cs typeface="+mn-cs"/>
                  </a:defRPr>
                </a:pPr>
                <a:r>
                  <a:rPr lang="ru-RU"/>
                  <a:t>Уровень использования производственных мощностей, %, </a:t>
                </a:r>
                <a:r>
                  <a:rPr lang="en-US"/>
                  <a:t>X9</a:t>
                </a:r>
                <a:endParaRPr lang="en-US"/>
              </a:p>
            </c:rich>
          </c:tx>
          <c:layout/>
          <c:overlay val="0"/>
        </c:title>
        <c:numFmt formatCode="General" sourceLinked="1"/>
        <c:majorTickMark val="out"/>
        <c:minorTickMark val="none"/>
        <c:tickLblPos val="nextTo"/>
        <c:txPr>
          <a:bodyPr rot="-60000000" spcFirstLastPara="0" vertOverflow="ellipsis" vert="horz" wrap="square" anchor="ctr" anchorCtr="1"/>
          <a:lstStyle/>
          <a:p>
            <a:pPr>
              <a:defRPr lang="ru-RU" sz="1000" b="0" i="0" u="none" strike="noStrike" kern="1200" baseline="0">
                <a:solidFill>
                  <a:schemeClr val="tx1"/>
                </a:solidFill>
                <a:latin typeface="+mn-lt"/>
                <a:ea typeface="+mn-ea"/>
                <a:cs typeface="+mn-cs"/>
              </a:defRPr>
            </a:pPr>
          </a:p>
        </c:txPr>
        <c:crossAx val="1235797151"/>
        <c:crosses val="autoZero"/>
        <c:crossBetween val="midCat"/>
      </c:valAx>
      <c:valAx>
        <c:axId val="1235797151"/>
        <c:scaling>
          <c:orientation val="minMax"/>
        </c:scaling>
        <c:delete val="0"/>
        <c:axPos val="l"/>
        <c:title>
          <c:tx>
            <c:rich>
              <a:bodyPr rot="-5400000" spcFirstLastPara="0" vertOverflow="ellipsis" vert="horz" wrap="square" anchor="ctr" anchorCtr="1"/>
              <a:lstStyle/>
              <a:p>
                <a:pPr>
                  <a:defRPr lang="ru-RU" sz="1000" b="1" i="0" u="none" strike="noStrike" kern="1200" baseline="0">
                    <a:solidFill>
                      <a:schemeClr val="tx1"/>
                    </a:solidFill>
                    <a:latin typeface="+mn-lt"/>
                    <a:ea typeface="+mn-ea"/>
                    <a:cs typeface="+mn-cs"/>
                  </a:defRPr>
                </a:pPr>
                <a:r>
                  <a:rPr lang="ru-RU"/>
                  <a:t>Остатки</a:t>
                </a:r>
                <a:endParaRPr lang="ru-RU"/>
              </a:p>
            </c:rich>
          </c:tx>
          <c:layout/>
          <c:overlay val="0"/>
        </c:title>
        <c:numFmt formatCode="General" sourceLinked="1"/>
        <c:majorTickMark val="out"/>
        <c:minorTickMark val="none"/>
        <c:tickLblPos val="nextTo"/>
        <c:txPr>
          <a:bodyPr rot="-60000000" spcFirstLastPara="0" vertOverflow="ellipsis" vert="horz" wrap="square" anchor="ctr" anchorCtr="1"/>
          <a:lstStyle/>
          <a:p>
            <a:pPr>
              <a:defRPr lang="ru-RU" sz="1000" b="0" i="0" u="none" strike="noStrike" kern="1200" baseline="0">
                <a:solidFill>
                  <a:schemeClr val="tx1"/>
                </a:solidFill>
                <a:latin typeface="+mn-lt"/>
                <a:ea typeface="+mn-ea"/>
                <a:cs typeface="+mn-cs"/>
              </a:defRPr>
            </a:pPr>
          </a:p>
        </c:txPr>
        <c:crossAx val="1391381135"/>
        <c:crosses val="autoZero"/>
        <c:crossBetween val="midCat"/>
      </c:valAx>
    </c:plotArea>
    <c:plotVisOnly val="1"/>
    <c:dispBlanksAs val="gap"/>
    <c:showDLblsOverMax val="0"/>
    <c:extLst>
      <c:ext uri="{0b15fc19-7d7d-44ad-8c2d-2c3a37ce22c3}">
        <chartProps xmlns="https://web.wps.cn/et/2018/main" chartId="{8bf22b6c-b05a-46d7-a3bf-595d8e331131}"/>
      </c:ext>
    </c:extLst>
  </c:chart>
  <c:txPr>
    <a:bodyPr/>
    <a:lstStyle/>
    <a:p>
      <a:pPr>
        <a:defRPr lang="ru-RU"/>
      </a:pPr>
    </a:p>
  </c:txPr>
  <c:printSettings>
    <c:headerFooter/>
    <c:pageMargins b="0.75" l="0.7" r="0.7" t="0.75" header="0.3" footer="0.3"/>
    <c:pageSetup/>
  </c:printSettings>
</c:chartSpace>
</file>

<file path=xl/charts/chart58.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0" vertOverflow="ellipsis" vert="horz" wrap="square" anchor="ctr" anchorCtr="1"/>
          <a:lstStyle/>
          <a:p>
            <a:pPr>
              <a:defRPr lang="ru-RU" sz="1800" b="1" i="0" u="none" strike="noStrike" kern="1200" baseline="0">
                <a:solidFill>
                  <a:schemeClr val="tx1"/>
                </a:solidFill>
                <a:latin typeface="+mn-lt"/>
                <a:ea typeface="+mn-ea"/>
                <a:cs typeface="+mn-cs"/>
              </a:defRPr>
            </a:pPr>
            <a:r>
              <a:rPr lang="ru-RU"/>
              <a:t>Среднесписочная численность работников, чел., </a:t>
            </a:r>
            <a:r>
              <a:rPr lang="en-US"/>
              <a:t>X2 </a:t>
            </a:r>
            <a:r>
              <a:rPr lang="ru-RU"/>
              <a:t>График подбора</a:t>
            </a:r>
            <a:endParaRPr lang="ru-RU"/>
          </a:p>
        </c:rich>
      </c:tx>
      <c:layout/>
      <c:overlay val="0"/>
    </c:title>
    <c:autoTitleDeleted val="0"/>
    <c:plotArea>
      <c:layout/>
      <c:scatterChart>
        <c:scatterStyle val="marker"/>
        <c:varyColors val="0"/>
        <c:ser>
          <c:idx val="0"/>
          <c:order val="0"/>
          <c:tx>
            <c:strRef>
              <c:f>"Прибыль, млн руб., Y"</c:f>
              <c:strCache>
                <c:ptCount val="1"/>
                <c:pt idx="0">
                  <c:v>Прибыль, млн руб., Y</c:v>
                </c:pt>
              </c:strCache>
            </c:strRef>
          </c:tx>
          <c:spPr>
            <a:ln w="19050" cap="rnd" cmpd="sng" algn="ctr">
              <a:noFill/>
              <a:prstDash val="solid"/>
              <a:round/>
            </a:ln>
          </c:spPr>
          <c:dLbls>
            <c:delete val="1"/>
          </c:dLbls>
          <c:xVal>
            <c:numRef>
              <c:f>'Исходные данные 7'!$C$2:$C$31</c:f>
              <c:numCache>
                <c:formatCode>General</c:formatCode>
                <c:ptCount val="30"/>
                <c:pt idx="0">
                  <c:v>500</c:v>
                </c:pt>
                <c:pt idx="1">
                  <c:v>510</c:v>
                </c:pt>
                <c:pt idx="2">
                  <c:v>509</c:v>
                </c:pt>
                <c:pt idx="3">
                  <c:v>515</c:v>
                </c:pt>
                <c:pt idx="4">
                  <c:v>520</c:v>
                </c:pt>
                <c:pt idx="5">
                  <c:v>519</c:v>
                </c:pt>
                <c:pt idx="6">
                  <c:v>525</c:v>
                </c:pt>
                <c:pt idx="7">
                  <c:v>526</c:v>
                </c:pt>
                <c:pt idx="8">
                  <c:v>530</c:v>
                </c:pt>
                <c:pt idx="9">
                  <c:v>550</c:v>
                </c:pt>
                <c:pt idx="10">
                  <c:v>570</c:v>
                </c:pt>
                <c:pt idx="11">
                  <c:v>560</c:v>
                </c:pt>
                <c:pt idx="12">
                  <c:v>555</c:v>
                </c:pt>
                <c:pt idx="13">
                  <c:v>555</c:v>
                </c:pt>
                <c:pt idx="14">
                  <c:v>560</c:v>
                </c:pt>
                <c:pt idx="15">
                  <c:v>560</c:v>
                </c:pt>
                <c:pt idx="16">
                  <c:v>562</c:v>
                </c:pt>
                <c:pt idx="17">
                  <c:v>580</c:v>
                </c:pt>
                <c:pt idx="18">
                  <c:v>581</c:v>
                </c:pt>
                <c:pt idx="19">
                  <c:v>582</c:v>
                </c:pt>
                <c:pt idx="20">
                  <c:v>585</c:v>
                </c:pt>
                <c:pt idx="21">
                  <c:v>590</c:v>
                </c:pt>
                <c:pt idx="22">
                  <c:v>601</c:v>
                </c:pt>
                <c:pt idx="23">
                  <c:v>612</c:v>
                </c:pt>
                <c:pt idx="24">
                  <c:v>610</c:v>
                </c:pt>
                <c:pt idx="25">
                  <c:v>611</c:v>
                </c:pt>
                <c:pt idx="26">
                  <c:v>615</c:v>
                </c:pt>
                <c:pt idx="27">
                  <c:v>620</c:v>
                </c:pt>
                <c:pt idx="28">
                  <c:v>621</c:v>
                </c:pt>
                <c:pt idx="29">
                  <c:v>622</c:v>
                </c:pt>
              </c:numCache>
            </c:numRef>
          </c:xVal>
          <c:yVal>
            <c:numRef>
              <c:f>'Исходные данные 7'!$B$2:$B$31</c:f>
              <c:numCache>
                <c:formatCode>General</c:formatCode>
                <c:ptCount val="30"/>
                <c:pt idx="0">
                  <c:v>335</c:v>
                </c:pt>
                <c:pt idx="1">
                  <c:v>336</c:v>
                </c:pt>
                <c:pt idx="2">
                  <c:v>388</c:v>
                </c:pt>
                <c:pt idx="3">
                  <c:v>420</c:v>
                </c:pt>
                <c:pt idx="4">
                  <c:v>450</c:v>
                </c:pt>
                <c:pt idx="5">
                  <c:v>450</c:v>
                </c:pt>
                <c:pt idx="6">
                  <c:v>500</c:v>
                </c:pt>
                <c:pt idx="7">
                  <c:v>520</c:v>
                </c:pt>
                <c:pt idx="8">
                  <c:v>550</c:v>
                </c:pt>
                <c:pt idx="9">
                  <c:v>600</c:v>
                </c:pt>
                <c:pt idx="10">
                  <c:v>605</c:v>
                </c:pt>
                <c:pt idx="11">
                  <c:v>620</c:v>
                </c:pt>
                <c:pt idx="12">
                  <c:v>630</c:v>
                </c:pt>
                <c:pt idx="13">
                  <c:v>655</c:v>
                </c:pt>
                <c:pt idx="14">
                  <c:v>690</c:v>
                </c:pt>
                <c:pt idx="15">
                  <c:v>690</c:v>
                </c:pt>
                <c:pt idx="16">
                  <c:v>710</c:v>
                </c:pt>
                <c:pt idx="17">
                  <c:v>720</c:v>
                </c:pt>
                <c:pt idx="18">
                  <c:v>745</c:v>
                </c:pt>
                <c:pt idx="19">
                  <c:v>760</c:v>
                </c:pt>
                <c:pt idx="20">
                  <c:v>780</c:v>
                </c:pt>
                <c:pt idx="21">
                  <c:v>840</c:v>
                </c:pt>
                <c:pt idx="22">
                  <c:v>845</c:v>
                </c:pt>
                <c:pt idx="23">
                  <c:v>850</c:v>
                </c:pt>
                <c:pt idx="24">
                  <c:v>860</c:v>
                </c:pt>
                <c:pt idx="25">
                  <c:v>890</c:v>
                </c:pt>
                <c:pt idx="26">
                  <c:v>940</c:v>
                </c:pt>
                <c:pt idx="27">
                  <c:v>960</c:v>
                </c:pt>
                <c:pt idx="28">
                  <c:v>980</c:v>
                </c:pt>
                <c:pt idx="29">
                  <c:v>990</c:v>
                </c:pt>
              </c:numCache>
            </c:numRef>
          </c:yVal>
          <c:smooth val="0"/>
        </c:ser>
        <c:ser>
          <c:idx val="1"/>
          <c:order val="1"/>
          <c:tx>
            <c:strRef>
              <c:f>"Предсказанное Прибыль, млн руб., Y"</c:f>
              <c:strCache>
                <c:ptCount val="1"/>
                <c:pt idx="0">
                  <c:v>Предсказанное Прибыль, млн руб., Y</c:v>
                </c:pt>
              </c:strCache>
            </c:strRef>
          </c:tx>
          <c:spPr>
            <a:ln w="19050" cap="rnd" cmpd="sng" algn="ctr">
              <a:noFill/>
              <a:prstDash val="solid"/>
              <a:round/>
            </a:ln>
          </c:spPr>
          <c:dLbls>
            <c:delete val="1"/>
          </c:dLbls>
          <c:xVal>
            <c:numRef>
              <c:f>'Исходные данные 7'!$C$2:$C$31</c:f>
              <c:numCache>
                <c:formatCode>General</c:formatCode>
                <c:ptCount val="30"/>
                <c:pt idx="0">
                  <c:v>500</c:v>
                </c:pt>
                <c:pt idx="1">
                  <c:v>510</c:v>
                </c:pt>
                <c:pt idx="2">
                  <c:v>509</c:v>
                </c:pt>
                <c:pt idx="3">
                  <c:v>515</c:v>
                </c:pt>
                <c:pt idx="4">
                  <c:v>520</c:v>
                </c:pt>
                <c:pt idx="5">
                  <c:v>519</c:v>
                </c:pt>
                <c:pt idx="6">
                  <c:v>525</c:v>
                </c:pt>
                <c:pt idx="7">
                  <c:v>526</c:v>
                </c:pt>
                <c:pt idx="8">
                  <c:v>530</c:v>
                </c:pt>
                <c:pt idx="9">
                  <c:v>550</c:v>
                </c:pt>
                <c:pt idx="10">
                  <c:v>570</c:v>
                </c:pt>
                <c:pt idx="11">
                  <c:v>560</c:v>
                </c:pt>
                <c:pt idx="12">
                  <c:v>555</c:v>
                </c:pt>
                <c:pt idx="13">
                  <c:v>555</c:v>
                </c:pt>
                <c:pt idx="14">
                  <c:v>560</c:v>
                </c:pt>
                <c:pt idx="15">
                  <c:v>560</c:v>
                </c:pt>
                <c:pt idx="16">
                  <c:v>562</c:v>
                </c:pt>
                <c:pt idx="17">
                  <c:v>580</c:v>
                </c:pt>
                <c:pt idx="18">
                  <c:v>581</c:v>
                </c:pt>
                <c:pt idx="19">
                  <c:v>582</c:v>
                </c:pt>
                <c:pt idx="20">
                  <c:v>585</c:v>
                </c:pt>
                <c:pt idx="21">
                  <c:v>590</c:v>
                </c:pt>
                <c:pt idx="22">
                  <c:v>601</c:v>
                </c:pt>
                <c:pt idx="23">
                  <c:v>612</c:v>
                </c:pt>
                <c:pt idx="24">
                  <c:v>610</c:v>
                </c:pt>
                <c:pt idx="25">
                  <c:v>611</c:v>
                </c:pt>
                <c:pt idx="26">
                  <c:v>615</c:v>
                </c:pt>
                <c:pt idx="27">
                  <c:v>620</c:v>
                </c:pt>
                <c:pt idx="28">
                  <c:v>621</c:v>
                </c:pt>
                <c:pt idx="29">
                  <c:v>622</c:v>
                </c:pt>
              </c:numCache>
            </c:numRef>
          </c:xVal>
          <c:yVal>
            <c:numRef>
              <c:f>'Анализ данных 7'!$B$26:$B$55</c:f>
              <c:numCache>
                <c:formatCode>General</c:formatCode>
                <c:ptCount val="30"/>
                <c:pt idx="0">
                  <c:v>348.847003651757</c:v>
                </c:pt>
                <c:pt idx="1">
                  <c:v>397.618261730712</c:v>
                </c:pt>
                <c:pt idx="2">
                  <c:v>393.266565483291</c:v>
                </c:pt>
                <c:pt idx="3">
                  <c:v>424.631038572565</c:v>
                </c:pt>
                <c:pt idx="4">
                  <c:v>449.308572923417</c:v>
                </c:pt>
                <c:pt idx="5">
                  <c:v>443.789255430497</c:v>
                </c:pt>
                <c:pt idx="6">
                  <c:v>472.81848602877</c:v>
                </c:pt>
                <c:pt idx="7">
                  <c:v>477.75399289894</c:v>
                </c:pt>
                <c:pt idx="8">
                  <c:v>497.496020379622</c:v>
                </c:pt>
                <c:pt idx="9">
                  <c:v>596.206157783032</c:v>
                </c:pt>
                <c:pt idx="10">
                  <c:v>699.002969545693</c:v>
                </c:pt>
                <c:pt idx="11">
                  <c:v>651.399332712238</c:v>
                </c:pt>
                <c:pt idx="12">
                  <c:v>634.311336457138</c:v>
                </c:pt>
                <c:pt idx="13">
                  <c:v>636.646578948138</c:v>
                </c:pt>
                <c:pt idx="14">
                  <c:v>662.491734544491</c:v>
                </c:pt>
                <c:pt idx="15">
                  <c:v>664.826977035491</c:v>
                </c:pt>
                <c:pt idx="16">
                  <c:v>675.865612021333</c:v>
                </c:pt>
                <c:pt idx="17">
                  <c:v>764.704735684402</c:v>
                </c:pt>
                <c:pt idx="18">
                  <c:v>763.802136327071</c:v>
                </c:pt>
                <c:pt idx="19">
                  <c:v>762.89953696974</c:v>
                </c:pt>
                <c:pt idx="20">
                  <c:v>773.619383221</c:v>
                </c:pt>
                <c:pt idx="21">
                  <c:v>797.129296326353</c:v>
                </c:pt>
                <c:pt idx="22">
                  <c:v>851.419871898228</c:v>
                </c:pt>
                <c:pt idx="23">
                  <c:v>905.710447470104</c:v>
                </c:pt>
                <c:pt idx="24">
                  <c:v>897.007054975263</c:v>
                </c:pt>
                <c:pt idx="25">
                  <c:v>904.277804336434</c:v>
                </c:pt>
                <c:pt idx="26">
                  <c:v>921.100778703365</c:v>
                </c:pt>
                <c:pt idx="27">
                  <c:v>941.107828072216</c:v>
                </c:pt>
                <c:pt idx="28">
                  <c:v>945.459524319637</c:v>
                </c:pt>
                <c:pt idx="29">
                  <c:v>954.481705549058</c:v>
                </c:pt>
              </c:numCache>
            </c:numRef>
          </c:yVal>
          <c:smooth val="0"/>
        </c:ser>
        <c:dLbls>
          <c:showLegendKey val="0"/>
          <c:showVal val="0"/>
          <c:showCatName val="0"/>
          <c:showSerName val="0"/>
          <c:showPercent val="0"/>
          <c:showBubbleSize val="0"/>
        </c:dLbls>
        <c:axId val="1391381135"/>
        <c:axId val="1235815039"/>
      </c:scatterChart>
      <c:valAx>
        <c:axId val="1391381135"/>
        <c:scaling>
          <c:orientation val="minMax"/>
        </c:scaling>
        <c:delete val="0"/>
        <c:axPos val="b"/>
        <c:title>
          <c:tx>
            <c:rich>
              <a:bodyPr rot="0" spcFirstLastPara="0" vertOverflow="ellipsis" vert="horz" wrap="square" anchor="ctr" anchorCtr="1"/>
              <a:lstStyle/>
              <a:p>
                <a:pPr>
                  <a:defRPr lang="ru-RU" sz="1000" b="1" i="0" u="none" strike="noStrike" kern="1200" baseline="0">
                    <a:solidFill>
                      <a:schemeClr val="tx1"/>
                    </a:solidFill>
                    <a:latin typeface="+mn-lt"/>
                    <a:ea typeface="+mn-ea"/>
                    <a:cs typeface="+mn-cs"/>
                  </a:defRPr>
                </a:pPr>
                <a:r>
                  <a:rPr lang="ru-RU"/>
                  <a:t>Среднесписочная численность работников, чел., </a:t>
                </a:r>
                <a:r>
                  <a:rPr lang="en-US"/>
                  <a:t>X2</a:t>
                </a:r>
                <a:endParaRPr lang="en-US"/>
              </a:p>
            </c:rich>
          </c:tx>
          <c:layout/>
          <c:overlay val="0"/>
        </c:title>
        <c:numFmt formatCode="General" sourceLinked="1"/>
        <c:majorTickMark val="out"/>
        <c:minorTickMark val="none"/>
        <c:tickLblPos val="nextTo"/>
        <c:txPr>
          <a:bodyPr rot="-60000000" spcFirstLastPara="0" vertOverflow="ellipsis" vert="horz" wrap="square" anchor="ctr" anchorCtr="1"/>
          <a:lstStyle/>
          <a:p>
            <a:pPr>
              <a:defRPr lang="ru-RU" sz="1000" b="0" i="0" u="none" strike="noStrike" kern="1200" baseline="0">
                <a:solidFill>
                  <a:schemeClr val="tx1"/>
                </a:solidFill>
                <a:latin typeface="+mn-lt"/>
                <a:ea typeface="+mn-ea"/>
                <a:cs typeface="+mn-cs"/>
              </a:defRPr>
            </a:pPr>
          </a:p>
        </c:txPr>
        <c:crossAx val="1235815039"/>
        <c:crosses val="autoZero"/>
        <c:crossBetween val="midCat"/>
      </c:valAx>
      <c:valAx>
        <c:axId val="1235815039"/>
        <c:scaling>
          <c:orientation val="minMax"/>
        </c:scaling>
        <c:delete val="0"/>
        <c:axPos val="l"/>
        <c:title>
          <c:tx>
            <c:rich>
              <a:bodyPr rot="-5400000" spcFirstLastPara="0" vertOverflow="ellipsis" vert="horz" wrap="square" anchor="ctr" anchorCtr="1"/>
              <a:lstStyle/>
              <a:p>
                <a:pPr>
                  <a:defRPr lang="ru-RU" sz="1000" b="1" i="0" u="none" strike="noStrike" kern="1200" baseline="0">
                    <a:solidFill>
                      <a:schemeClr val="tx1"/>
                    </a:solidFill>
                    <a:latin typeface="+mn-lt"/>
                    <a:ea typeface="+mn-ea"/>
                    <a:cs typeface="+mn-cs"/>
                  </a:defRPr>
                </a:pPr>
                <a:r>
                  <a:rPr lang="ru-RU"/>
                  <a:t>Прибыль, млн руб., </a:t>
                </a:r>
                <a:r>
                  <a:rPr lang="en-US"/>
                  <a:t>Y</a:t>
                </a:r>
                <a:endParaRPr lang="en-US"/>
              </a:p>
            </c:rich>
          </c:tx>
          <c:layout/>
          <c:overlay val="0"/>
        </c:title>
        <c:numFmt formatCode="General" sourceLinked="1"/>
        <c:majorTickMark val="out"/>
        <c:minorTickMark val="none"/>
        <c:tickLblPos val="nextTo"/>
        <c:txPr>
          <a:bodyPr rot="-60000000" spcFirstLastPara="0" vertOverflow="ellipsis" vert="horz" wrap="square" anchor="ctr" anchorCtr="1"/>
          <a:lstStyle/>
          <a:p>
            <a:pPr>
              <a:defRPr lang="ru-RU" sz="1000" b="0" i="0" u="none" strike="noStrike" kern="1200" baseline="0">
                <a:solidFill>
                  <a:schemeClr val="tx1"/>
                </a:solidFill>
                <a:latin typeface="+mn-lt"/>
                <a:ea typeface="+mn-ea"/>
                <a:cs typeface="+mn-cs"/>
              </a:defRPr>
            </a:pPr>
          </a:p>
        </c:txPr>
        <c:crossAx val="1391381135"/>
        <c:crosses val="autoZero"/>
        <c:crossBetween val="midCat"/>
      </c:valAx>
    </c:plotArea>
    <c:legend>
      <c:legendPos val="r"/>
      <c:layout/>
      <c:overlay val="0"/>
      <c:txPr>
        <a:bodyPr rot="0" spcFirstLastPara="0" vertOverflow="ellipsis" vert="horz" wrap="square" anchor="ctr" anchorCtr="1"/>
        <a:lstStyle/>
        <a:p>
          <a:pPr>
            <a:defRPr lang="ru-RU" sz="1000" b="0" i="0" u="none" strike="noStrike" kern="1200" baseline="0">
              <a:solidFill>
                <a:schemeClr val="tx1"/>
              </a:solidFill>
              <a:latin typeface="+mn-lt"/>
              <a:ea typeface="+mn-ea"/>
              <a:cs typeface="+mn-cs"/>
            </a:defRPr>
          </a:pPr>
        </a:p>
      </c:txPr>
    </c:legend>
    <c:plotVisOnly val="1"/>
    <c:dispBlanksAs val="gap"/>
    <c:showDLblsOverMax val="0"/>
    <c:extLst>
      <c:ext uri="{0b15fc19-7d7d-44ad-8c2d-2c3a37ce22c3}">
        <chartProps xmlns="https://web.wps.cn/et/2018/main" chartId="{3efdd1b3-f7ea-4260-8990-59deb66ab1ea}"/>
      </c:ext>
    </c:extLst>
  </c:chart>
  <c:txPr>
    <a:bodyPr/>
    <a:lstStyle/>
    <a:p>
      <a:pPr>
        <a:defRPr lang="ru-RU"/>
      </a:pPr>
    </a:p>
  </c:txPr>
  <c:printSettings>
    <c:headerFooter/>
    <c:pageMargins b="0.75" l="0.7" r="0.7" t="0.75" header="0.3" footer="0.3"/>
    <c:pageSetup/>
  </c:printSettings>
</c:chartSpace>
</file>

<file path=xl/charts/chart59.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0" vertOverflow="ellipsis" vert="horz" wrap="square" anchor="ctr" anchorCtr="1"/>
          <a:lstStyle/>
          <a:p>
            <a:pPr>
              <a:defRPr lang="ru-RU" sz="1800" b="1" i="0" u="none" strike="noStrike" kern="1200" baseline="0">
                <a:solidFill>
                  <a:schemeClr val="tx1"/>
                </a:solidFill>
                <a:latin typeface="+mn-lt"/>
                <a:ea typeface="+mn-ea"/>
                <a:cs typeface="+mn-cs"/>
              </a:defRPr>
            </a:pPr>
            <a:r>
              <a:rPr lang="ru-RU"/>
              <a:t>Уровень использования производственных мощностей, %, </a:t>
            </a:r>
            <a:r>
              <a:rPr lang="en-US"/>
              <a:t>X9 </a:t>
            </a:r>
            <a:r>
              <a:rPr lang="ru-RU"/>
              <a:t>График подбора</a:t>
            </a:r>
            <a:endParaRPr lang="ru-RU"/>
          </a:p>
        </c:rich>
      </c:tx>
      <c:layout/>
      <c:overlay val="0"/>
    </c:title>
    <c:autoTitleDeleted val="0"/>
    <c:plotArea>
      <c:layout/>
      <c:scatterChart>
        <c:scatterStyle val="marker"/>
        <c:varyColors val="0"/>
        <c:ser>
          <c:idx val="0"/>
          <c:order val="0"/>
          <c:tx>
            <c:strRef>
              <c:f>"Прибыль, млн руб., Y"</c:f>
              <c:strCache>
                <c:ptCount val="1"/>
                <c:pt idx="0">
                  <c:v>Прибыль, млн руб., Y</c:v>
                </c:pt>
              </c:strCache>
            </c:strRef>
          </c:tx>
          <c:spPr>
            <a:ln w="19050" cap="rnd" cmpd="sng" algn="ctr">
              <a:noFill/>
              <a:prstDash val="solid"/>
              <a:round/>
            </a:ln>
          </c:spPr>
          <c:dLbls>
            <c:delete val="1"/>
          </c:dLbls>
          <c:xVal>
            <c:numRef>
              <c:f>'Исходные данные 7'!$D$2:$D$31</c:f>
              <c:numCache>
                <c:formatCode>General</c:formatCode>
                <c:ptCount val="30"/>
                <c:pt idx="0">
                  <c:v>96</c:v>
                </c:pt>
                <c:pt idx="1">
                  <c:v>97</c:v>
                </c:pt>
                <c:pt idx="2">
                  <c:v>96</c:v>
                </c:pt>
                <c:pt idx="3">
                  <c:v>93</c:v>
                </c:pt>
                <c:pt idx="4">
                  <c:v>93</c:v>
                </c:pt>
                <c:pt idx="5">
                  <c:v>94</c:v>
                </c:pt>
                <c:pt idx="6">
                  <c:v>95</c:v>
                </c:pt>
                <c:pt idx="7">
                  <c:v>95</c:v>
                </c:pt>
                <c:pt idx="8">
                  <c:v>95</c:v>
                </c:pt>
                <c:pt idx="9">
                  <c:v>95</c:v>
                </c:pt>
                <c:pt idx="10">
                  <c:v>88</c:v>
                </c:pt>
                <c:pt idx="11">
                  <c:v>85</c:v>
                </c:pt>
                <c:pt idx="12">
                  <c:v>72</c:v>
                </c:pt>
                <c:pt idx="13">
                  <c:v>68</c:v>
                </c:pt>
                <c:pt idx="14">
                  <c:v>66</c:v>
                </c:pt>
                <c:pt idx="15">
                  <c:v>62</c:v>
                </c:pt>
                <c:pt idx="16">
                  <c:v>60</c:v>
                </c:pt>
                <c:pt idx="17">
                  <c:v>60</c:v>
                </c:pt>
                <c:pt idx="18">
                  <c:v>70</c:v>
                </c:pt>
                <c:pt idx="19">
                  <c:v>80</c:v>
                </c:pt>
                <c:pt idx="20">
                  <c:v>87</c:v>
                </c:pt>
                <c:pt idx="21">
                  <c:v>89</c:v>
                </c:pt>
                <c:pt idx="22">
                  <c:v>89</c:v>
                </c:pt>
                <c:pt idx="23">
                  <c:v>89</c:v>
                </c:pt>
                <c:pt idx="24">
                  <c:v>87</c:v>
                </c:pt>
                <c:pt idx="25">
                  <c:v>83</c:v>
                </c:pt>
                <c:pt idx="26">
                  <c:v>88</c:v>
                </c:pt>
                <c:pt idx="27">
                  <c:v>96</c:v>
                </c:pt>
                <c:pt idx="28">
                  <c:v>97</c:v>
                </c:pt>
                <c:pt idx="29">
                  <c:v>90</c:v>
                </c:pt>
              </c:numCache>
            </c:numRef>
          </c:xVal>
          <c:yVal>
            <c:numRef>
              <c:f>'Исходные данные 7'!$B$2:$B$31</c:f>
              <c:numCache>
                <c:formatCode>General</c:formatCode>
                <c:ptCount val="30"/>
                <c:pt idx="0">
                  <c:v>335</c:v>
                </c:pt>
                <c:pt idx="1">
                  <c:v>336</c:v>
                </c:pt>
                <c:pt idx="2">
                  <c:v>388</c:v>
                </c:pt>
                <c:pt idx="3">
                  <c:v>420</c:v>
                </c:pt>
                <c:pt idx="4">
                  <c:v>450</c:v>
                </c:pt>
                <c:pt idx="5">
                  <c:v>450</c:v>
                </c:pt>
                <c:pt idx="6">
                  <c:v>500</c:v>
                </c:pt>
                <c:pt idx="7">
                  <c:v>520</c:v>
                </c:pt>
                <c:pt idx="8">
                  <c:v>550</c:v>
                </c:pt>
                <c:pt idx="9">
                  <c:v>600</c:v>
                </c:pt>
                <c:pt idx="10">
                  <c:v>605</c:v>
                </c:pt>
                <c:pt idx="11">
                  <c:v>620</c:v>
                </c:pt>
                <c:pt idx="12">
                  <c:v>630</c:v>
                </c:pt>
                <c:pt idx="13">
                  <c:v>655</c:v>
                </c:pt>
                <c:pt idx="14">
                  <c:v>690</c:v>
                </c:pt>
                <c:pt idx="15">
                  <c:v>690</c:v>
                </c:pt>
                <c:pt idx="16">
                  <c:v>710</c:v>
                </c:pt>
                <c:pt idx="17">
                  <c:v>720</c:v>
                </c:pt>
                <c:pt idx="18">
                  <c:v>745</c:v>
                </c:pt>
                <c:pt idx="19">
                  <c:v>760</c:v>
                </c:pt>
                <c:pt idx="20">
                  <c:v>780</c:v>
                </c:pt>
                <c:pt idx="21">
                  <c:v>840</c:v>
                </c:pt>
                <c:pt idx="22">
                  <c:v>845</c:v>
                </c:pt>
                <c:pt idx="23">
                  <c:v>850</c:v>
                </c:pt>
                <c:pt idx="24">
                  <c:v>860</c:v>
                </c:pt>
                <c:pt idx="25">
                  <c:v>890</c:v>
                </c:pt>
                <c:pt idx="26">
                  <c:v>940</c:v>
                </c:pt>
                <c:pt idx="27">
                  <c:v>960</c:v>
                </c:pt>
                <c:pt idx="28">
                  <c:v>980</c:v>
                </c:pt>
                <c:pt idx="29">
                  <c:v>990</c:v>
                </c:pt>
              </c:numCache>
            </c:numRef>
          </c:yVal>
          <c:smooth val="0"/>
        </c:ser>
        <c:ser>
          <c:idx val="1"/>
          <c:order val="1"/>
          <c:tx>
            <c:strRef>
              <c:f>"Предсказанное Прибыль, млн руб., Y"</c:f>
              <c:strCache>
                <c:ptCount val="1"/>
                <c:pt idx="0">
                  <c:v>Предсказанное Прибыль, млн руб., Y</c:v>
                </c:pt>
              </c:strCache>
            </c:strRef>
          </c:tx>
          <c:spPr>
            <a:ln w="19050" cap="rnd" cmpd="sng" algn="ctr">
              <a:noFill/>
              <a:prstDash val="solid"/>
              <a:round/>
            </a:ln>
          </c:spPr>
          <c:dLbls>
            <c:delete val="1"/>
          </c:dLbls>
          <c:xVal>
            <c:numRef>
              <c:f>'Исходные данные 7'!$D$2:$D$31</c:f>
              <c:numCache>
                <c:formatCode>General</c:formatCode>
                <c:ptCount val="30"/>
                <c:pt idx="0">
                  <c:v>96</c:v>
                </c:pt>
                <c:pt idx="1">
                  <c:v>97</c:v>
                </c:pt>
                <c:pt idx="2">
                  <c:v>96</c:v>
                </c:pt>
                <c:pt idx="3">
                  <c:v>93</c:v>
                </c:pt>
                <c:pt idx="4">
                  <c:v>93</c:v>
                </c:pt>
                <c:pt idx="5">
                  <c:v>94</c:v>
                </c:pt>
                <c:pt idx="6">
                  <c:v>95</c:v>
                </c:pt>
                <c:pt idx="7">
                  <c:v>95</c:v>
                </c:pt>
                <c:pt idx="8">
                  <c:v>95</c:v>
                </c:pt>
                <c:pt idx="9">
                  <c:v>95</c:v>
                </c:pt>
                <c:pt idx="10">
                  <c:v>88</c:v>
                </c:pt>
                <c:pt idx="11">
                  <c:v>85</c:v>
                </c:pt>
                <c:pt idx="12">
                  <c:v>72</c:v>
                </c:pt>
                <c:pt idx="13">
                  <c:v>68</c:v>
                </c:pt>
                <c:pt idx="14">
                  <c:v>66</c:v>
                </c:pt>
                <c:pt idx="15">
                  <c:v>62</c:v>
                </c:pt>
                <c:pt idx="16">
                  <c:v>60</c:v>
                </c:pt>
                <c:pt idx="17">
                  <c:v>60</c:v>
                </c:pt>
                <c:pt idx="18">
                  <c:v>70</c:v>
                </c:pt>
                <c:pt idx="19">
                  <c:v>80</c:v>
                </c:pt>
                <c:pt idx="20">
                  <c:v>87</c:v>
                </c:pt>
                <c:pt idx="21">
                  <c:v>89</c:v>
                </c:pt>
                <c:pt idx="22">
                  <c:v>89</c:v>
                </c:pt>
                <c:pt idx="23">
                  <c:v>89</c:v>
                </c:pt>
                <c:pt idx="24">
                  <c:v>87</c:v>
                </c:pt>
                <c:pt idx="25">
                  <c:v>83</c:v>
                </c:pt>
                <c:pt idx="26">
                  <c:v>88</c:v>
                </c:pt>
                <c:pt idx="27">
                  <c:v>96</c:v>
                </c:pt>
                <c:pt idx="28">
                  <c:v>97</c:v>
                </c:pt>
                <c:pt idx="29">
                  <c:v>90</c:v>
                </c:pt>
              </c:numCache>
            </c:numRef>
          </c:xVal>
          <c:yVal>
            <c:numRef>
              <c:f>'Анализ данных 7'!$B$26:$B$55</c:f>
              <c:numCache>
                <c:formatCode>General</c:formatCode>
                <c:ptCount val="30"/>
                <c:pt idx="0">
                  <c:v>348.847003651757</c:v>
                </c:pt>
                <c:pt idx="1">
                  <c:v>397.618261730712</c:v>
                </c:pt>
                <c:pt idx="2">
                  <c:v>393.266565483291</c:v>
                </c:pt>
                <c:pt idx="3">
                  <c:v>424.631038572565</c:v>
                </c:pt>
                <c:pt idx="4">
                  <c:v>449.308572923417</c:v>
                </c:pt>
                <c:pt idx="5">
                  <c:v>443.789255430497</c:v>
                </c:pt>
                <c:pt idx="6">
                  <c:v>472.81848602877</c:v>
                </c:pt>
                <c:pt idx="7">
                  <c:v>477.75399289894</c:v>
                </c:pt>
                <c:pt idx="8">
                  <c:v>497.496020379622</c:v>
                </c:pt>
                <c:pt idx="9">
                  <c:v>596.206157783032</c:v>
                </c:pt>
                <c:pt idx="10">
                  <c:v>699.002969545693</c:v>
                </c:pt>
                <c:pt idx="11">
                  <c:v>651.399332712238</c:v>
                </c:pt>
                <c:pt idx="12">
                  <c:v>634.311336457138</c:v>
                </c:pt>
                <c:pt idx="13">
                  <c:v>636.646578948138</c:v>
                </c:pt>
                <c:pt idx="14">
                  <c:v>662.491734544491</c:v>
                </c:pt>
                <c:pt idx="15">
                  <c:v>664.826977035491</c:v>
                </c:pt>
                <c:pt idx="16">
                  <c:v>675.865612021333</c:v>
                </c:pt>
                <c:pt idx="17">
                  <c:v>764.704735684402</c:v>
                </c:pt>
                <c:pt idx="18">
                  <c:v>763.802136327071</c:v>
                </c:pt>
                <c:pt idx="19">
                  <c:v>762.89953696974</c:v>
                </c:pt>
                <c:pt idx="20">
                  <c:v>773.619383221</c:v>
                </c:pt>
                <c:pt idx="21">
                  <c:v>797.129296326353</c:v>
                </c:pt>
                <c:pt idx="22">
                  <c:v>851.419871898228</c:v>
                </c:pt>
                <c:pt idx="23">
                  <c:v>905.710447470104</c:v>
                </c:pt>
                <c:pt idx="24">
                  <c:v>897.007054975263</c:v>
                </c:pt>
                <c:pt idx="25">
                  <c:v>904.277804336434</c:v>
                </c:pt>
                <c:pt idx="26">
                  <c:v>921.100778703365</c:v>
                </c:pt>
                <c:pt idx="27">
                  <c:v>941.107828072216</c:v>
                </c:pt>
                <c:pt idx="28">
                  <c:v>945.459524319637</c:v>
                </c:pt>
                <c:pt idx="29">
                  <c:v>954.481705549058</c:v>
                </c:pt>
              </c:numCache>
            </c:numRef>
          </c:yVal>
          <c:smooth val="0"/>
        </c:ser>
        <c:dLbls>
          <c:showLegendKey val="0"/>
          <c:showVal val="0"/>
          <c:showCatName val="0"/>
          <c:showSerName val="0"/>
          <c:showPercent val="0"/>
          <c:showBubbleSize val="0"/>
        </c:dLbls>
        <c:axId val="1397997903"/>
        <c:axId val="1235819199"/>
      </c:scatterChart>
      <c:valAx>
        <c:axId val="1397997903"/>
        <c:scaling>
          <c:orientation val="minMax"/>
        </c:scaling>
        <c:delete val="0"/>
        <c:axPos val="b"/>
        <c:title>
          <c:tx>
            <c:rich>
              <a:bodyPr rot="0" spcFirstLastPara="0" vertOverflow="ellipsis" vert="horz" wrap="square" anchor="ctr" anchorCtr="1"/>
              <a:lstStyle/>
              <a:p>
                <a:pPr>
                  <a:defRPr lang="ru-RU" sz="1000" b="1" i="0" u="none" strike="noStrike" kern="1200" baseline="0">
                    <a:solidFill>
                      <a:schemeClr val="tx1"/>
                    </a:solidFill>
                    <a:latin typeface="+mn-lt"/>
                    <a:ea typeface="+mn-ea"/>
                    <a:cs typeface="+mn-cs"/>
                  </a:defRPr>
                </a:pPr>
                <a:r>
                  <a:rPr lang="ru-RU"/>
                  <a:t>Уровень использования производственных мощностей, %, </a:t>
                </a:r>
                <a:r>
                  <a:rPr lang="en-US"/>
                  <a:t>X9</a:t>
                </a:r>
                <a:endParaRPr lang="en-US"/>
              </a:p>
            </c:rich>
          </c:tx>
          <c:layout/>
          <c:overlay val="0"/>
        </c:title>
        <c:numFmt formatCode="General" sourceLinked="1"/>
        <c:majorTickMark val="out"/>
        <c:minorTickMark val="none"/>
        <c:tickLblPos val="nextTo"/>
        <c:txPr>
          <a:bodyPr rot="-60000000" spcFirstLastPara="0" vertOverflow="ellipsis" vert="horz" wrap="square" anchor="ctr" anchorCtr="1"/>
          <a:lstStyle/>
          <a:p>
            <a:pPr>
              <a:defRPr lang="ru-RU" sz="1000" b="0" i="0" u="none" strike="noStrike" kern="1200" baseline="0">
                <a:solidFill>
                  <a:schemeClr val="tx1"/>
                </a:solidFill>
                <a:latin typeface="+mn-lt"/>
                <a:ea typeface="+mn-ea"/>
                <a:cs typeface="+mn-cs"/>
              </a:defRPr>
            </a:pPr>
          </a:p>
        </c:txPr>
        <c:crossAx val="1235819199"/>
        <c:crosses val="autoZero"/>
        <c:crossBetween val="midCat"/>
      </c:valAx>
      <c:valAx>
        <c:axId val="1235819199"/>
        <c:scaling>
          <c:orientation val="minMax"/>
        </c:scaling>
        <c:delete val="0"/>
        <c:axPos val="l"/>
        <c:title>
          <c:tx>
            <c:rich>
              <a:bodyPr rot="-5400000" spcFirstLastPara="0" vertOverflow="ellipsis" vert="horz" wrap="square" anchor="ctr" anchorCtr="1"/>
              <a:lstStyle/>
              <a:p>
                <a:pPr>
                  <a:defRPr lang="ru-RU" sz="1000" b="1" i="0" u="none" strike="noStrike" kern="1200" baseline="0">
                    <a:solidFill>
                      <a:schemeClr val="tx1"/>
                    </a:solidFill>
                    <a:latin typeface="+mn-lt"/>
                    <a:ea typeface="+mn-ea"/>
                    <a:cs typeface="+mn-cs"/>
                  </a:defRPr>
                </a:pPr>
                <a:r>
                  <a:rPr lang="ru-RU"/>
                  <a:t>Прибыль, млн руб., </a:t>
                </a:r>
                <a:r>
                  <a:rPr lang="en-US"/>
                  <a:t>Y</a:t>
                </a:r>
                <a:endParaRPr lang="en-US"/>
              </a:p>
            </c:rich>
          </c:tx>
          <c:layout/>
          <c:overlay val="0"/>
        </c:title>
        <c:numFmt formatCode="General" sourceLinked="1"/>
        <c:majorTickMark val="out"/>
        <c:minorTickMark val="none"/>
        <c:tickLblPos val="nextTo"/>
        <c:txPr>
          <a:bodyPr rot="-60000000" spcFirstLastPara="0" vertOverflow="ellipsis" vert="horz" wrap="square" anchor="ctr" anchorCtr="1"/>
          <a:lstStyle/>
          <a:p>
            <a:pPr>
              <a:defRPr lang="ru-RU" sz="1000" b="0" i="0" u="none" strike="noStrike" kern="1200" baseline="0">
                <a:solidFill>
                  <a:schemeClr val="tx1"/>
                </a:solidFill>
                <a:latin typeface="+mn-lt"/>
                <a:ea typeface="+mn-ea"/>
                <a:cs typeface="+mn-cs"/>
              </a:defRPr>
            </a:pPr>
          </a:p>
        </c:txPr>
        <c:crossAx val="1397997903"/>
        <c:crosses val="autoZero"/>
        <c:crossBetween val="midCat"/>
      </c:valAx>
    </c:plotArea>
    <c:legend>
      <c:legendPos val="r"/>
      <c:layout/>
      <c:overlay val="0"/>
      <c:txPr>
        <a:bodyPr rot="0" spcFirstLastPara="0" vertOverflow="ellipsis" vert="horz" wrap="square" anchor="ctr" anchorCtr="1"/>
        <a:lstStyle/>
        <a:p>
          <a:pPr>
            <a:defRPr lang="ru-RU" sz="1000" b="0" i="0" u="none" strike="noStrike" kern="1200" baseline="0">
              <a:solidFill>
                <a:schemeClr val="tx1"/>
              </a:solidFill>
              <a:latin typeface="+mn-lt"/>
              <a:ea typeface="+mn-ea"/>
              <a:cs typeface="+mn-cs"/>
            </a:defRPr>
          </a:pPr>
        </a:p>
      </c:txPr>
    </c:legend>
    <c:plotVisOnly val="1"/>
    <c:dispBlanksAs val="gap"/>
    <c:showDLblsOverMax val="0"/>
    <c:extLst>
      <c:ext uri="{0b15fc19-7d7d-44ad-8c2d-2c3a37ce22c3}">
        <chartProps xmlns="https://web.wps.cn/et/2018/main" chartId="{c4705a0b-8e5f-425e-8d2c-ee6a1a247c1a}"/>
      </c:ext>
    </c:extLst>
  </c:chart>
  <c:txPr>
    <a:bodyPr/>
    <a:lstStyle/>
    <a:p>
      <a:pPr>
        <a:defRPr lang="ru-RU"/>
      </a:pPr>
    </a:p>
  </c:txPr>
  <c:printSettings>
    <c:headerFooter/>
    <c:pageMargins b="0.75" l="0.7" r="0.7" t="0.75" header="0.3" footer="0.3"/>
    <c:pageSetup/>
  </c:printSettings>
</c:chartSpace>
</file>

<file path=xl/charts/chart60.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0" vertOverflow="ellipsis" vert="horz" wrap="square" anchor="ctr" anchorCtr="1"/>
          <a:lstStyle/>
          <a:p>
            <a:pPr>
              <a:defRPr lang="ru-RU" sz="1800" b="1" i="0" u="none" strike="noStrike" kern="1200" baseline="0">
                <a:solidFill>
                  <a:schemeClr val="tx1"/>
                </a:solidFill>
                <a:latin typeface="+mn-lt"/>
                <a:ea typeface="+mn-ea"/>
                <a:cs typeface="+mn-cs"/>
              </a:defRPr>
            </a:pPr>
            <a:r>
              <a:rPr lang="ru-RU"/>
              <a:t>График нормального распределения</a:t>
            </a:r>
            <a:endParaRPr lang="ru-RU"/>
          </a:p>
        </c:rich>
      </c:tx>
      <c:layout/>
      <c:overlay val="0"/>
    </c:title>
    <c:autoTitleDeleted val="0"/>
    <c:plotArea>
      <c:layout/>
      <c:scatterChart>
        <c:scatterStyle val="marker"/>
        <c:varyColors val="0"/>
        <c:ser>
          <c:idx val="0"/>
          <c:order val="0"/>
          <c:spPr>
            <a:ln w="19050" cap="rnd" cmpd="sng" algn="ctr">
              <a:noFill/>
              <a:prstDash val="solid"/>
              <a:round/>
            </a:ln>
          </c:spPr>
          <c:dLbls>
            <c:delete val="1"/>
          </c:dLbls>
          <c:xVal>
            <c:numRef>
              <c:f>'Анализ данных 7'!$F$26:$F$55</c:f>
              <c:numCache>
                <c:formatCode>General</c:formatCode>
                <c:ptCount val="30"/>
                <c:pt idx="0">
                  <c:v>1.66666666666667</c:v>
                </c:pt>
                <c:pt idx="1">
                  <c:v>5</c:v>
                </c:pt>
                <c:pt idx="2">
                  <c:v>8.33333333333333</c:v>
                </c:pt>
                <c:pt idx="3">
                  <c:v>11.6666666666667</c:v>
                </c:pt>
                <c:pt idx="4">
                  <c:v>15</c:v>
                </c:pt>
                <c:pt idx="5">
                  <c:v>18.3333333333333</c:v>
                </c:pt>
                <c:pt idx="6">
                  <c:v>21.6666666666667</c:v>
                </c:pt>
                <c:pt idx="7">
                  <c:v>25</c:v>
                </c:pt>
                <c:pt idx="8">
                  <c:v>28.3333333333333</c:v>
                </c:pt>
                <c:pt idx="9">
                  <c:v>31.6666666666667</c:v>
                </c:pt>
                <c:pt idx="10">
                  <c:v>35</c:v>
                </c:pt>
                <c:pt idx="11">
                  <c:v>38.3333333333333</c:v>
                </c:pt>
                <c:pt idx="12">
                  <c:v>41.6666666666667</c:v>
                </c:pt>
                <c:pt idx="13">
                  <c:v>45</c:v>
                </c:pt>
                <c:pt idx="14">
                  <c:v>48.3333333333333</c:v>
                </c:pt>
                <c:pt idx="15">
                  <c:v>51.6666666666667</c:v>
                </c:pt>
                <c:pt idx="16">
                  <c:v>55</c:v>
                </c:pt>
                <c:pt idx="17">
                  <c:v>58.3333333333333</c:v>
                </c:pt>
                <c:pt idx="18">
                  <c:v>61.6666666666667</c:v>
                </c:pt>
                <c:pt idx="19">
                  <c:v>65</c:v>
                </c:pt>
                <c:pt idx="20">
                  <c:v>68.3333333333333</c:v>
                </c:pt>
                <c:pt idx="21">
                  <c:v>71.6666666666667</c:v>
                </c:pt>
                <c:pt idx="22">
                  <c:v>75</c:v>
                </c:pt>
                <c:pt idx="23">
                  <c:v>78.3333333333333</c:v>
                </c:pt>
                <c:pt idx="24">
                  <c:v>81.6666666666667</c:v>
                </c:pt>
                <c:pt idx="25">
                  <c:v>85</c:v>
                </c:pt>
                <c:pt idx="26">
                  <c:v>88.3333333333333</c:v>
                </c:pt>
                <c:pt idx="27">
                  <c:v>91.6666666666667</c:v>
                </c:pt>
                <c:pt idx="28">
                  <c:v>95</c:v>
                </c:pt>
                <c:pt idx="29">
                  <c:v>98.3333333333333</c:v>
                </c:pt>
              </c:numCache>
            </c:numRef>
          </c:xVal>
          <c:yVal>
            <c:numRef>
              <c:f>'Анализ данных 7'!$G$26:$G$55</c:f>
              <c:numCache>
                <c:formatCode>General</c:formatCode>
                <c:ptCount val="30"/>
                <c:pt idx="0">
                  <c:v>335</c:v>
                </c:pt>
                <c:pt idx="1">
                  <c:v>336</c:v>
                </c:pt>
                <c:pt idx="2">
                  <c:v>388</c:v>
                </c:pt>
                <c:pt idx="3">
                  <c:v>420</c:v>
                </c:pt>
                <c:pt idx="4">
                  <c:v>450</c:v>
                </c:pt>
                <c:pt idx="5">
                  <c:v>450</c:v>
                </c:pt>
                <c:pt idx="6">
                  <c:v>500</c:v>
                </c:pt>
                <c:pt idx="7">
                  <c:v>520</c:v>
                </c:pt>
                <c:pt idx="8">
                  <c:v>550</c:v>
                </c:pt>
                <c:pt idx="9">
                  <c:v>600</c:v>
                </c:pt>
                <c:pt idx="10">
                  <c:v>605</c:v>
                </c:pt>
                <c:pt idx="11">
                  <c:v>620</c:v>
                </c:pt>
                <c:pt idx="12">
                  <c:v>630</c:v>
                </c:pt>
                <c:pt idx="13">
                  <c:v>655</c:v>
                </c:pt>
                <c:pt idx="14">
                  <c:v>690</c:v>
                </c:pt>
                <c:pt idx="15">
                  <c:v>690</c:v>
                </c:pt>
                <c:pt idx="16">
                  <c:v>710</c:v>
                </c:pt>
                <c:pt idx="17">
                  <c:v>720</c:v>
                </c:pt>
                <c:pt idx="18">
                  <c:v>745</c:v>
                </c:pt>
                <c:pt idx="19">
                  <c:v>760</c:v>
                </c:pt>
                <c:pt idx="20">
                  <c:v>780</c:v>
                </c:pt>
                <c:pt idx="21">
                  <c:v>840</c:v>
                </c:pt>
                <c:pt idx="22">
                  <c:v>845</c:v>
                </c:pt>
                <c:pt idx="23">
                  <c:v>850</c:v>
                </c:pt>
                <c:pt idx="24">
                  <c:v>860</c:v>
                </c:pt>
                <c:pt idx="25">
                  <c:v>890</c:v>
                </c:pt>
                <c:pt idx="26">
                  <c:v>940</c:v>
                </c:pt>
                <c:pt idx="27">
                  <c:v>960</c:v>
                </c:pt>
                <c:pt idx="28">
                  <c:v>980</c:v>
                </c:pt>
                <c:pt idx="29">
                  <c:v>990</c:v>
                </c:pt>
              </c:numCache>
            </c:numRef>
          </c:yVal>
          <c:smooth val="0"/>
        </c:ser>
        <c:dLbls>
          <c:showLegendKey val="0"/>
          <c:showVal val="0"/>
          <c:showCatName val="0"/>
          <c:showSerName val="0"/>
          <c:showPercent val="0"/>
          <c:showBubbleSize val="0"/>
        </c:dLbls>
        <c:axId val="1398000703"/>
        <c:axId val="1235821279"/>
      </c:scatterChart>
      <c:valAx>
        <c:axId val="1398000703"/>
        <c:scaling>
          <c:orientation val="minMax"/>
        </c:scaling>
        <c:delete val="0"/>
        <c:axPos val="b"/>
        <c:title>
          <c:tx>
            <c:rich>
              <a:bodyPr rot="0" spcFirstLastPara="0" vertOverflow="ellipsis" vert="horz" wrap="square" anchor="ctr" anchorCtr="1"/>
              <a:lstStyle/>
              <a:p>
                <a:pPr>
                  <a:defRPr lang="ru-RU" sz="1000" b="1" i="0" u="none" strike="noStrike" kern="1200" baseline="0">
                    <a:solidFill>
                      <a:schemeClr val="tx1"/>
                    </a:solidFill>
                    <a:latin typeface="+mn-lt"/>
                    <a:ea typeface="+mn-ea"/>
                    <a:cs typeface="+mn-cs"/>
                  </a:defRPr>
                </a:pPr>
                <a:r>
                  <a:rPr lang="ru-RU"/>
                  <a:t>Персентиль выборки</a:t>
                </a:r>
                <a:endParaRPr lang="ru-RU"/>
              </a:p>
            </c:rich>
          </c:tx>
          <c:layout/>
          <c:overlay val="0"/>
        </c:title>
        <c:numFmt formatCode="General" sourceLinked="1"/>
        <c:majorTickMark val="out"/>
        <c:minorTickMark val="none"/>
        <c:tickLblPos val="nextTo"/>
        <c:txPr>
          <a:bodyPr rot="-60000000" spcFirstLastPara="0" vertOverflow="ellipsis" vert="horz" wrap="square" anchor="ctr" anchorCtr="1"/>
          <a:lstStyle/>
          <a:p>
            <a:pPr>
              <a:defRPr lang="ru-RU" sz="1000" b="0" i="0" u="none" strike="noStrike" kern="1200" baseline="0">
                <a:solidFill>
                  <a:schemeClr val="tx1"/>
                </a:solidFill>
                <a:latin typeface="+mn-lt"/>
                <a:ea typeface="+mn-ea"/>
                <a:cs typeface="+mn-cs"/>
              </a:defRPr>
            </a:pPr>
          </a:p>
        </c:txPr>
        <c:crossAx val="1235821279"/>
        <c:crosses val="autoZero"/>
        <c:crossBetween val="midCat"/>
      </c:valAx>
      <c:valAx>
        <c:axId val="1235821279"/>
        <c:scaling>
          <c:orientation val="minMax"/>
        </c:scaling>
        <c:delete val="0"/>
        <c:axPos val="l"/>
        <c:title>
          <c:tx>
            <c:rich>
              <a:bodyPr rot="-5400000" spcFirstLastPara="0" vertOverflow="ellipsis" vert="horz" wrap="square" anchor="ctr" anchorCtr="1"/>
              <a:lstStyle/>
              <a:p>
                <a:pPr>
                  <a:defRPr lang="ru-RU" sz="1000" b="1" i="0" u="none" strike="noStrike" kern="1200" baseline="0">
                    <a:solidFill>
                      <a:schemeClr val="tx1"/>
                    </a:solidFill>
                    <a:latin typeface="+mn-lt"/>
                    <a:ea typeface="+mn-ea"/>
                    <a:cs typeface="+mn-cs"/>
                  </a:defRPr>
                </a:pPr>
                <a:r>
                  <a:rPr lang="ru-RU"/>
                  <a:t>Прибыль, млн руб., </a:t>
                </a:r>
                <a:r>
                  <a:rPr lang="en-US"/>
                  <a:t>Y</a:t>
                </a:r>
                <a:endParaRPr lang="en-US"/>
              </a:p>
            </c:rich>
          </c:tx>
          <c:layout/>
          <c:overlay val="0"/>
        </c:title>
        <c:numFmt formatCode="General" sourceLinked="1"/>
        <c:majorTickMark val="out"/>
        <c:minorTickMark val="none"/>
        <c:tickLblPos val="nextTo"/>
        <c:txPr>
          <a:bodyPr rot="-60000000" spcFirstLastPara="0" vertOverflow="ellipsis" vert="horz" wrap="square" anchor="ctr" anchorCtr="1"/>
          <a:lstStyle/>
          <a:p>
            <a:pPr>
              <a:defRPr lang="ru-RU" sz="1000" b="0" i="0" u="none" strike="noStrike" kern="1200" baseline="0">
                <a:solidFill>
                  <a:schemeClr val="tx1"/>
                </a:solidFill>
                <a:latin typeface="+mn-lt"/>
                <a:ea typeface="+mn-ea"/>
                <a:cs typeface="+mn-cs"/>
              </a:defRPr>
            </a:pPr>
          </a:p>
        </c:txPr>
        <c:crossAx val="1398000703"/>
        <c:crosses val="autoZero"/>
        <c:crossBetween val="midCat"/>
      </c:valAx>
    </c:plotArea>
    <c:plotVisOnly val="1"/>
    <c:dispBlanksAs val="gap"/>
    <c:showDLblsOverMax val="0"/>
    <c:extLst>
      <c:ext uri="{0b15fc19-7d7d-44ad-8c2d-2c3a37ce22c3}">
        <chartProps xmlns="https://web.wps.cn/et/2018/main" chartId="{89089ccf-3c28-415a-892f-b105ca0d87cf}"/>
      </c:ext>
    </c:extLst>
  </c:chart>
  <c:txPr>
    <a:bodyPr/>
    <a:lstStyle/>
    <a:p>
      <a:pPr>
        <a:defRPr lang="ru-RU"/>
      </a:pPr>
    </a:p>
  </c:txPr>
  <c:printSettings>
    <c:headerFooter/>
    <c:pageMargins b="0.75" l="0.7" r="0.7" t="0.75" header="0.3" footer="0.3"/>
    <c:pageSetup/>
  </c:printSettings>
</c:chartSpace>
</file>

<file path=xl/charts/chart61.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0" vertOverflow="ellipsis" vert="horz" wrap="square" anchor="ctr" anchorCtr="1"/>
          <a:lstStyle/>
          <a:p>
            <a:pPr>
              <a:defRPr lang="ru-RU" sz="1800" b="1" i="0" u="none" strike="noStrike" kern="1200" baseline="0">
                <a:solidFill>
                  <a:schemeClr val="tx1"/>
                </a:solidFill>
                <a:latin typeface="+mn-lt"/>
                <a:ea typeface="+mn-ea"/>
                <a:cs typeface="+mn-cs"/>
              </a:defRPr>
            </a:pPr>
            <a:r>
              <a:rPr lang="ru-RU"/>
              <a:t>Среднесписочная численность работников, чел., </a:t>
            </a:r>
            <a:r>
              <a:rPr lang="en-US"/>
              <a:t>X2 </a:t>
            </a:r>
            <a:r>
              <a:rPr lang="ru-RU"/>
              <a:t>График остатков</a:t>
            </a:r>
            <a:endParaRPr lang="ru-RU"/>
          </a:p>
        </c:rich>
      </c:tx>
      <c:layout/>
      <c:overlay val="0"/>
    </c:title>
    <c:autoTitleDeleted val="0"/>
    <c:plotArea>
      <c:layout/>
      <c:scatterChart>
        <c:scatterStyle val="marker"/>
        <c:varyColors val="0"/>
        <c:ser>
          <c:idx val="0"/>
          <c:order val="0"/>
          <c:spPr>
            <a:ln w="19050" cap="rnd" cmpd="sng" algn="ctr">
              <a:noFill/>
              <a:prstDash val="solid"/>
              <a:round/>
            </a:ln>
          </c:spPr>
          <c:dLbls>
            <c:delete val="1"/>
          </c:dLbls>
          <c:xVal>
            <c:numRef>
              <c:f>'Исходные данные 8'!$C$2:$C$31</c:f>
              <c:numCache>
                <c:formatCode>General</c:formatCode>
                <c:ptCount val="30"/>
                <c:pt idx="0">
                  <c:v>500</c:v>
                </c:pt>
                <c:pt idx="1">
                  <c:v>510</c:v>
                </c:pt>
                <c:pt idx="2">
                  <c:v>509</c:v>
                </c:pt>
                <c:pt idx="3">
                  <c:v>515</c:v>
                </c:pt>
                <c:pt idx="4">
                  <c:v>520</c:v>
                </c:pt>
                <c:pt idx="5">
                  <c:v>519</c:v>
                </c:pt>
                <c:pt idx="6">
                  <c:v>525</c:v>
                </c:pt>
                <c:pt idx="7">
                  <c:v>526</c:v>
                </c:pt>
                <c:pt idx="8">
                  <c:v>530</c:v>
                </c:pt>
                <c:pt idx="9">
                  <c:v>550</c:v>
                </c:pt>
                <c:pt idx="10">
                  <c:v>570</c:v>
                </c:pt>
                <c:pt idx="11">
                  <c:v>560</c:v>
                </c:pt>
                <c:pt idx="12">
                  <c:v>555</c:v>
                </c:pt>
                <c:pt idx="13">
                  <c:v>555</c:v>
                </c:pt>
                <c:pt idx="14">
                  <c:v>560</c:v>
                </c:pt>
                <c:pt idx="15">
                  <c:v>560</c:v>
                </c:pt>
                <c:pt idx="16">
                  <c:v>562</c:v>
                </c:pt>
                <c:pt idx="17">
                  <c:v>580</c:v>
                </c:pt>
                <c:pt idx="18">
                  <c:v>581</c:v>
                </c:pt>
                <c:pt idx="19">
                  <c:v>582</c:v>
                </c:pt>
                <c:pt idx="20">
                  <c:v>585</c:v>
                </c:pt>
                <c:pt idx="21">
                  <c:v>590</c:v>
                </c:pt>
                <c:pt idx="22">
                  <c:v>601</c:v>
                </c:pt>
                <c:pt idx="23">
                  <c:v>612</c:v>
                </c:pt>
                <c:pt idx="24">
                  <c:v>610</c:v>
                </c:pt>
                <c:pt idx="25">
                  <c:v>611</c:v>
                </c:pt>
                <c:pt idx="26">
                  <c:v>615</c:v>
                </c:pt>
                <c:pt idx="27">
                  <c:v>620</c:v>
                </c:pt>
                <c:pt idx="28">
                  <c:v>621</c:v>
                </c:pt>
                <c:pt idx="29">
                  <c:v>622</c:v>
                </c:pt>
              </c:numCache>
            </c:numRef>
          </c:xVal>
          <c:yVal>
            <c:numRef>
              <c:f>'Анализ данных 8'!$C$25:$C$54</c:f>
              <c:numCache>
                <c:formatCode>General</c:formatCode>
                <c:ptCount val="30"/>
                <c:pt idx="0">
                  <c:v>-18.0825827769663</c:v>
                </c:pt>
                <c:pt idx="1">
                  <c:v>-66.758055766184</c:v>
                </c:pt>
                <c:pt idx="2">
                  <c:v>-9.79050846726204</c:v>
                </c:pt>
                <c:pt idx="3">
                  <c:v>-7.59579226079313</c:v>
                </c:pt>
                <c:pt idx="4">
                  <c:v>-2.43352875540177</c:v>
                </c:pt>
                <c:pt idx="5">
                  <c:v>2.53401854351978</c:v>
                </c:pt>
                <c:pt idx="6">
                  <c:v>22.7287347499891</c:v>
                </c:pt>
                <c:pt idx="7">
                  <c:v>37.7611874510676</c:v>
                </c:pt>
                <c:pt idx="8">
                  <c:v>47.8909982553801</c:v>
                </c:pt>
                <c:pt idx="9">
                  <c:v>-1.45994772305539</c:v>
                </c:pt>
                <c:pt idx="10">
                  <c:v>-95.8108937014913</c:v>
                </c:pt>
                <c:pt idx="11">
                  <c:v>-31.1354207122736</c:v>
                </c:pt>
                <c:pt idx="12">
                  <c:v>3.70231578233552</c:v>
                </c:pt>
                <c:pt idx="13">
                  <c:v>28.7023157823355</c:v>
                </c:pt>
                <c:pt idx="14">
                  <c:v>38.8645792877264</c:v>
                </c:pt>
                <c:pt idx="15">
                  <c:v>38.8645792877264</c:v>
                </c:pt>
                <c:pt idx="16">
                  <c:v>48.9294846898829</c:v>
                </c:pt>
                <c:pt idx="17">
                  <c:v>-30.486366690709</c:v>
                </c:pt>
                <c:pt idx="18">
                  <c:v>-10.453913989631</c:v>
                </c:pt>
                <c:pt idx="19">
                  <c:v>-0.421461288552564</c:v>
                </c:pt>
                <c:pt idx="20">
                  <c:v>4.67589681468189</c:v>
                </c:pt>
                <c:pt idx="21">
                  <c:v>39.8381603200728</c:v>
                </c:pt>
                <c:pt idx="22">
                  <c:v>-9.80485996806647</c:v>
                </c:pt>
                <c:pt idx="23">
                  <c:v>-59.4478802562062</c:v>
                </c:pt>
                <c:pt idx="24">
                  <c:v>-39.5127856583626</c:v>
                </c:pt>
                <c:pt idx="25">
                  <c:v>-14.4803329572846</c:v>
                </c:pt>
                <c:pt idx="26">
                  <c:v>15.6494778470283</c:v>
                </c:pt>
                <c:pt idx="27">
                  <c:v>10.8117413524192</c:v>
                </c:pt>
                <c:pt idx="28">
                  <c:v>25.8441940534976</c:v>
                </c:pt>
                <c:pt idx="29">
                  <c:v>30.8766467545756</c:v>
                </c:pt>
              </c:numCache>
            </c:numRef>
          </c:yVal>
          <c:smooth val="0"/>
        </c:ser>
        <c:dLbls>
          <c:showLegendKey val="0"/>
          <c:showVal val="0"/>
          <c:showCatName val="0"/>
          <c:showSerName val="0"/>
          <c:showPercent val="0"/>
          <c:showBubbleSize val="0"/>
        </c:dLbls>
        <c:axId val="1310442767"/>
        <c:axId val="1391980927"/>
      </c:scatterChart>
      <c:valAx>
        <c:axId val="1310442767"/>
        <c:scaling>
          <c:orientation val="minMax"/>
        </c:scaling>
        <c:delete val="0"/>
        <c:axPos val="b"/>
        <c:title>
          <c:tx>
            <c:rich>
              <a:bodyPr rot="0" spcFirstLastPara="0" vertOverflow="ellipsis" vert="horz" wrap="square" anchor="ctr" anchorCtr="1"/>
              <a:lstStyle/>
              <a:p>
                <a:pPr>
                  <a:defRPr lang="ru-RU" sz="1000" b="1" i="0" u="none" strike="noStrike" kern="1200" baseline="0">
                    <a:solidFill>
                      <a:schemeClr val="tx1"/>
                    </a:solidFill>
                    <a:latin typeface="+mn-lt"/>
                    <a:ea typeface="+mn-ea"/>
                    <a:cs typeface="+mn-cs"/>
                  </a:defRPr>
                </a:pPr>
                <a:r>
                  <a:rPr lang="ru-RU"/>
                  <a:t>Среднесписочная численность работников, чел., </a:t>
                </a:r>
                <a:r>
                  <a:rPr lang="en-US"/>
                  <a:t>X2</a:t>
                </a:r>
                <a:endParaRPr lang="en-US"/>
              </a:p>
            </c:rich>
          </c:tx>
          <c:layout/>
          <c:overlay val="0"/>
        </c:title>
        <c:numFmt formatCode="General" sourceLinked="1"/>
        <c:majorTickMark val="out"/>
        <c:minorTickMark val="none"/>
        <c:tickLblPos val="nextTo"/>
        <c:txPr>
          <a:bodyPr rot="-60000000" spcFirstLastPara="0" vertOverflow="ellipsis" vert="horz" wrap="square" anchor="ctr" anchorCtr="1"/>
          <a:lstStyle/>
          <a:p>
            <a:pPr>
              <a:defRPr lang="ru-RU" sz="1000" b="0" i="0" u="none" strike="noStrike" kern="1200" baseline="0">
                <a:solidFill>
                  <a:schemeClr val="tx1"/>
                </a:solidFill>
                <a:latin typeface="+mn-lt"/>
                <a:ea typeface="+mn-ea"/>
                <a:cs typeface="+mn-cs"/>
              </a:defRPr>
            </a:pPr>
          </a:p>
        </c:txPr>
        <c:crossAx val="1391980927"/>
        <c:crosses val="autoZero"/>
        <c:crossBetween val="midCat"/>
      </c:valAx>
      <c:valAx>
        <c:axId val="1391980927"/>
        <c:scaling>
          <c:orientation val="minMax"/>
        </c:scaling>
        <c:delete val="0"/>
        <c:axPos val="l"/>
        <c:title>
          <c:tx>
            <c:rich>
              <a:bodyPr rot="-5400000" spcFirstLastPara="0" vertOverflow="ellipsis" vert="horz" wrap="square" anchor="ctr" anchorCtr="1"/>
              <a:lstStyle/>
              <a:p>
                <a:pPr>
                  <a:defRPr lang="ru-RU" sz="1000" b="1" i="0" u="none" strike="noStrike" kern="1200" baseline="0">
                    <a:solidFill>
                      <a:schemeClr val="tx1"/>
                    </a:solidFill>
                    <a:latin typeface="+mn-lt"/>
                    <a:ea typeface="+mn-ea"/>
                    <a:cs typeface="+mn-cs"/>
                  </a:defRPr>
                </a:pPr>
                <a:r>
                  <a:rPr lang="ru-RU"/>
                  <a:t>Остатки</a:t>
                </a:r>
                <a:endParaRPr lang="ru-RU"/>
              </a:p>
            </c:rich>
          </c:tx>
          <c:layout/>
          <c:overlay val="0"/>
        </c:title>
        <c:numFmt formatCode="General" sourceLinked="1"/>
        <c:majorTickMark val="out"/>
        <c:minorTickMark val="none"/>
        <c:tickLblPos val="nextTo"/>
        <c:txPr>
          <a:bodyPr rot="-60000000" spcFirstLastPara="0" vertOverflow="ellipsis" vert="horz" wrap="square" anchor="ctr" anchorCtr="1"/>
          <a:lstStyle/>
          <a:p>
            <a:pPr>
              <a:defRPr lang="ru-RU" sz="1000" b="0" i="0" u="none" strike="noStrike" kern="1200" baseline="0">
                <a:solidFill>
                  <a:schemeClr val="tx1"/>
                </a:solidFill>
                <a:latin typeface="+mn-lt"/>
                <a:ea typeface="+mn-ea"/>
                <a:cs typeface="+mn-cs"/>
              </a:defRPr>
            </a:pPr>
          </a:p>
        </c:txPr>
        <c:crossAx val="1310442767"/>
        <c:crosses val="autoZero"/>
        <c:crossBetween val="midCat"/>
      </c:valAx>
    </c:plotArea>
    <c:plotVisOnly val="1"/>
    <c:dispBlanksAs val="gap"/>
    <c:showDLblsOverMax val="0"/>
    <c:extLst>
      <c:ext uri="{0b15fc19-7d7d-44ad-8c2d-2c3a37ce22c3}">
        <chartProps xmlns="https://web.wps.cn/et/2018/main" chartId="{1e08d8a9-3845-4f1b-be2f-1fbda9b91f2c}"/>
      </c:ext>
    </c:extLst>
  </c:chart>
  <c:txPr>
    <a:bodyPr/>
    <a:lstStyle/>
    <a:p>
      <a:pPr>
        <a:defRPr lang="ru-RU"/>
      </a:pPr>
    </a:p>
  </c:txPr>
  <c:printSettings>
    <c:headerFooter/>
    <c:pageMargins b="0.75" l="0.7" r="0.7" t="0.75" header="0.3" footer="0.3"/>
    <c:pageSetup/>
  </c:printSettings>
</c:chartSpace>
</file>

<file path=xl/charts/chart62.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0" vertOverflow="ellipsis" vert="horz" wrap="square" anchor="ctr" anchorCtr="1"/>
          <a:lstStyle/>
          <a:p>
            <a:pPr>
              <a:defRPr lang="ru-RU" sz="1800" b="1" i="0" u="none" strike="noStrike" kern="1200" baseline="0">
                <a:solidFill>
                  <a:schemeClr val="tx1"/>
                </a:solidFill>
                <a:latin typeface="+mn-lt"/>
                <a:ea typeface="+mn-ea"/>
                <a:cs typeface="+mn-cs"/>
              </a:defRPr>
            </a:pPr>
            <a:r>
              <a:rPr lang="ru-RU"/>
              <a:t>Среднесписочная численность работников, чел., </a:t>
            </a:r>
            <a:r>
              <a:rPr lang="en-US"/>
              <a:t>X2 </a:t>
            </a:r>
            <a:r>
              <a:rPr lang="ru-RU"/>
              <a:t>График подбора</a:t>
            </a:r>
            <a:endParaRPr lang="ru-RU"/>
          </a:p>
        </c:rich>
      </c:tx>
      <c:layout/>
      <c:overlay val="0"/>
    </c:title>
    <c:autoTitleDeleted val="0"/>
    <c:plotArea>
      <c:layout/>
      <c:scatterChart>
        <c:scatterStyle val="marker"/>
        <c:varyColors val="0"/>
        <c:ser>
          <c:idx val="0"/>
          <c:order val="0"/>
          <c:tx>
            <c:strRef>
              <c:f>"Прибыль, млн руб., Y"</c:f>
              <c:strCache>
                <c:ptCount val="1"/>
                <c:pt idx="0">
                  <c:v>Прибыль, млн руб., Y</c:v>
                </c:pt>
              </c:strCache>
            </c:strRef>
          </c:tx>
          <c:spPr>
            <a:ln w="19050" cap="rnd" cmpd="sng" algn="ctr">
              <a:noFill/>
              <a:prstDash val="solid"/>
              <a:round/>
            </a:ln>
          </c:spPr>
          <c:dLbls>
            <c:delete val="1"/>
          </c:dLbls>
          <c:xVal>
            <c:numRef>
              <c:f>'Исходные данные 8'!$C$2:$C$31</c:f>
              <c:numCache>
                <c:formatCode>General</c:formatCode>
                <c:ptCount val="30"/>
                <c:pt idx="0">
                  <c:v>500</c:v>
                </c:pt>
                <c:pt idx="1">
                  <c:v>510</c:v>
                </c:pt>
                <c:pt idx="2">
                  <c:v>509</c:v>
                </c:pt>
                <c:pt idx="3">
                  <c:v>515</c:v>
                </c:pt>
                <c:pt idx="4">
                  <c:v>520</c:v>
                </c:pt>
                <c:pt idx="5">
                  <c:v>519</c:v>
                </c:pt>
                <c:pt idx="6">
                  <c:v>525</c:v>
                </c:pt>
                <c:pt idx="7">
                  <c:v>526</c:v>
                </c:pt>
                <c:pt idx="8">
                  <c:v>530</c:v>
                </c:pt>
                <c:pt idx="9">
                  <c:v>550</c:v>
                </c:pt>
                <c:pt idx="10">
                  <c:v>570</c:v>
                </c:pt>
                <c:pt idx="11">
                  <c:v>560</c:v>
                </c:pt>
                <c:pt idx="12">
                  <c:v>555</c:v>
                </c:pt>
                <c:pt idx="13">
                  <c:v>555</c:v>
                </c:pt>
                <c:pt idx="14">
                  <c:v>560</c:v>
                </c:pt>
                <c:pt idx="15">
                  <c:v>560</c:v>
                </c:pt>
                <c:pt idx="16">
                  <c:v>562</c:v>
                </c:pt>
                <c:pt idx="17">
                  <c:v>580</c:v>
                </c:pt>
                <c:pt idx="18">
                  <c:v>581</c:v>
                </c:pt>
                <c:pt idx="19">
                  <c:v>582</c:v>
                </c:pt>
                <c:pt idx="20">
                  <c:v>585</c:v>
                </c:pt>
                <c:pt idx="21">
                  <c:v>590</c:v>
                </c:pt>
                <c:pt idx="22">
                  <c:v>601</c:v>
                </c:pt>
                <c:pt idx="23">
                  <c:v>612</c:v>
                </c:pt>
                <c:pt idx="24">
                  <c:v>610</c:v>
                </c:pt>
                <c:pt idx="25">
                  <c:v>611</c:v>
                </c:pt>
                <c:pt idx="26">
                  <c:v>615</c:v>
                </c:pt>
                <c:pt idx="27">
                  <c:v>620</c:v>
                </c:pt>
                <c:pt idx="28">
                  <c:v>621</c:v>
                </c:pt>
                <c:pt idx="29">
                  <c:v>622</c:v>
                </c:pt>
              </c:numCache>
            </c:numRef>
          </c:xVal>
          <c:yVal>
            <c:numRef>
              <c:f>'Исходные данные 8'!$B$2:$B$31</c:f>
              <c:numCache>
                <c:formatCode>General</c:formatCode>
                <c:ptCount val="30"/>
                <c:pt idx="0">
                  <c:v>335</c:v>
                </c:pt>
                <c:pt idx="1">
                  <c:v>336</c:v>
                </c:pt>
                <c:pt idx="2">
                  <c:v>388</c:v>
                </c:pt>
                <c:pt idx="3">
                  <c:v>420</c:v>
                </c:pt>
                <c:pt idx="4">
                  <c:v>450</c:v>
                </c:pt>
                <c:pt idx="5">
                  <c:v>450</c:v>
                </c:pt>
                <c:pt idx="6">
                  <c:v>500</c:v>
                </c:pt>
                <c:pt idx="7">
                  <c:v>520</c:v>
                </c:pt>
                <c:pt idx="8">
                  <c:v>550</c:v>
                </c:pt>
                <c:pt idx="9">
                  <c:v>600</c:v>
                </c:pt>
                <c:pt idx="10">
                  <c:v>605</c:v>
                </c:pt>
                <c:pt idx="11">
                  <c:v>620</c:v>
                </c:pt>
                <c:pt idx="12">
                  <c:v>630</c:v>
                </c:pt>
                <c:pt idx="13">
                  <c:v>655</c:v>
                </c:pt>
                <c:pt idx="14">
                  <c:v>690</c:v>
                </c:pt>
                <c:pt idx="15">
                  <c:v>690</c:v>
                </c:pt>
                <c:pt idx="16">
                  <c:v>710</c:v>
                </c:pt>
                <c:pt idx="17">
                  <c:v>720</c:v>
                </c:pt>
                <c:pt idx="18">
                  <c:v>745</c:v>
                </c:pt>
                <c:pt idx="19">
                  <c:v>760</c:v>
                </c:pt>
                <c:pt idx="20">
                  <c:v>780</c:v>
                </c:pt>
                <c:pt idx="21">
                  <c:v>840</c:v>
                </c:pt>
                <c:pt idx="22">
                  <c:v>845</c:v>
                </c:pt>
                <c:pt idx="23">
                  <c:v>850</c:v>
                </c:pt>
                <c:pt idx="24">
                  <c:v>860</c:v>
                </c:pt>
                <c:pt idx="25">
                  <c:v>890</c:v>
                </c:pt>
                <c:pt idx="26">
                  <c:v>940</c:v>
                </c:pt>
                <c:pt idx="27">
                  <c:v>960</c:v>
                </c:pt>
                <c:pt idx="28">
                  <c:v>980</c:v>
                </c:pt>
                <c:pt idx="29">
                  <c:v>990</c:v>
                </c:pt>
              </c:numCache>
            </c:numRef>
          </c:yVal>
          <c:smooth val="0"/>
        </c:ser>
        <c:ser>
          <c:idx val="1"/>
          <c:order val="1"/>
          <c:tx>
            <c:strRef>
              <c:f>"Предсказанное Прибыль, млн руб., Y"</c:f>
              <c:strCache>
                <c:ptCount val="1"/>
                <c:pt idx="0">
                  <c:v>Предсказанное Прибыль, млн руб., Y</c:v>
                </c:pt>
              </c:strCache>
            </c:strRef>
          </c:tx>
          <c:spPr>
            <a:ln w="19050" cap="rnd" cmpd="sng" algn="ctr">
              <a:noFill/>
              <a:prstDash val="solid"/>
              <a:round/>
            </a:ln>
          </c:spPr>
          <c:dLbls>
            <c:delete val="1"/>
          </c:dLbls>
          <c:xVal>
            <c:numRef>
              <c:f>'Исходные данные 8'!$C$2:$C$31</c:f>
              <c:numCache>
                <c:formatCode>General</c:formatCode>
                <c:ptCount val="30"/>
                <c:pt idx="0">
                  <c:v>500</c:v>
                </c:pt>
                <c:pt idx="1">
                  <c:v>510</c:v>
                </c:pt>
                <c:pt idx="2">
                  <c:v>509</c:v>
                </c:pt>
                <c:pt idx="3">
                  <c:v>515</c:v>
                </c:pt>
                <c:pt idx="4">
                  <c:v>520</c:v>
                </c:pt>
                <c:pt idx="5">
                  <c:v>519</c:v>
                </c:pt>
                <c:pt idx="6">
                  <c:v>525</c:v>
                </c:pt>
                <c:pt idx="7">
                  <c:v>526</c:v>
                </c:pt>
                <c:pt idx="8">
                  <c:v>530</c:v>
                </c:pt>
                <c:pt idx="9">
                  <c:v>550</c:v>
                </c:pt>
                <c:pt idx="10">
                  <c:v>570</c:v>
                </c:pt>
                <c:pt idx="11">
                  <c:v>560</c:v>
                </c:pt>
                <c:pt idx="12">
                  <c:v>555</c:v>
                </c:pt>
                <c:pt idx="13">
                  <c:v>555</c:v>
                </c:pt>
                <c:pt idx="14">
                  <c:v>560</c:v>
                </c:pt>
                <c:pt idx="15">
                  <c:v>560</c:v>
                </c:pt>
                <c:pt idx="16">
                  <c:v>562</c:v>
                </c:pt>
                <c:pt idx="17">
                  <c:v>580</c:v>
                </c:pt>
                <c:pt idx="18">
                  <c:v>581</c:v>
                </c:pt>
                <c:pt idx="19">
                  <c:v>582</c:v>
                </c:pt>
                <c:pt idx="20">
                  <c:v>585</c:v>
                </c:pt>
                <c:pt idx="21">
                  <c:v>590</c:v>
                </c:pt>
                <c:pt idx="22">
                  <c:v>601</c:v>
                </c:pt>
                <c:pt idx="23">
                  <c:v>612</c:v>
                </c:pt>
                <c:pt idx="24">
                  <c:v>610</c:v>
                </c:pt>
                <c:pt idx="25">
                  <c:v>611</c:v>
                </c:pt>
                <c:pt idx="26">
                  <c:v>615</c:v>
                </c:pt>
                <c:pt idx="27">
                  <c:v>620</c:v>
                </c:pt>
                <c:pt idx="28">
                  <c:v>621</c:v>
                </c:pt>
                <c:pt idx="29">
                  <c:v>622</c:v>
                </c:pt>
              </c:numCache>
            </c:numRef>
          </c:xVal>
          <c:yVal>
            <c:numRef>
              <c:f>'Анализ данных 8'!$B$25:$B$54</c:f>
              <c:numCache>
                <c:formatCode>General</c:formatCode>
                <c:ptCount val="30"/>
                <c:pt idx="0">
                  <c:v>353.082582776966</c:v>
                </c:pt>
                <c:pt idx="1">
                  <c:v>402.758055766184</c:v>
                </c:pt>
                <c:pt idx="2">
                  <c:v>397.790508467262</c:v>
                </c:pt>
                <c:pt idx="3">
                  <c:v>427.595792260793</c:v>
                </c:pt>
                <c:pt idx="4">
                  <c:v>452.433528755402</c:v>
                </c:pt>
                <c:pt idx="5">
                  <c:v>447.46598145648</c:v>
                </c:pt>
                <c:pt idx="6">
                  <c:v>477.271265250011</c:v>
                </c:pt>
                <c:pt idx="7">
                  <c:v>482.238812548932</c:v>
                </c:pt>
                <c:pt idx="8">
                  <c:v>502.10900174462</c:v>
                </c:pt>
                <c:pt idx="9">
                  <c:v>601.459947723055</c:v>
                </c:pt>
                <c:pt idx="10">
                  <c:v>700.810893701491</c:v>
                </c:pt>
                <c:pt idx="11">
                  <c:v>651.135420712274</c:v>
                </c:pt>
                <c:pt idx="12">
                  <c:v>626.297684217664</c:v>
                </c:pt>
                <c:pt idx="13">
                  <c:v>626.297684217664</c:v>
                </c:pt>
                <c:pt idx="14">
                  <c:v>651.135420712274</c:v>
                </c:pt>
                <c:pt idx="15">
                  <c:v>651.135420712274</c:v>
                </c:pt>
                <c:pt idx="16">
                  <c:v>661.070515310117</c:v>
                </c:pt>
                <c:pt idx="17">
                  <c:v>750.486366690709</c:v>
                </c:pt>
                <c:pt idx="18">
                  <c:v>755.453913989631</c:v>
                </c:pt>
                <c:pt idx="19">
                  <c:v>760.421461288553</c:v>
                </c:pt>
                <c:pt idx="20">
                  <c:v>775.324103185318</c:v>
                </c:pt>
                <c:pt idx="21">
                  <c:v>800.161839679927</c:v>
                </c:pt>
                <c:pt idx="22">
                  <c:v>854.804859968066</c:v>
                </c:pt>
                <c:pt idx="23">
                  <c:v>909.447880256206</c:v>
                </c:pt>
                <c:pt idx="24">
                  <c:v>899.512785658363</c:v>
                </c:pt>
                <c:pt idx="25">
                  <c:v>904.480332957285</c:v>
                </c:pt>
                <c:pt idx="26">
                  <c:v>924.350522152972</c:v>
                </c:pt>
                <c:pt idx="27">
                  <c:v>949.188258647581</c:v>
                </c:pt>
                <c:pt idx="28">
                  <c:v>954.155805946502</c:v>
                </c:pt>
                <c:pt idx="29">
                  <c:v>959.123353245424</c:v>
                </c:pt>
              </c:numCache>
            </c:numRef>
          </c:yVal>
          <c:smooth val="0"/>
        </c:ser>
        <c:dLbls>
          <c:showLegendKey val="0"/>
          <c:showVal val="0"/>
          <c:showCatName val="0"/>
          <c:showSerName val="0"/>
          <c:showPercent val="0"/>
          <c:showBubbleSize val="0"/>
        </c:dLbls>
        <c:axId val="1310442767"/>
        <c:axId val="1391986335"/>
      </c:scatterChart>
      <c:valAx>
        <c:axId val="1310442767"/>
        <c:scaling>
          <c:orientation val="minMax"/>
        </c:scaling>
        <c:delete val="0"/>
        <c:axPos val="b"/>
        <c:title>
          <c:tx>
            <c:rich>
              <a:bodyPr rot="0" spcFirstLastPara="0" vertOverflow="ellipsis" vert="horz" wrap="square" anchor="ctr" anchorCtr="1"/>
              <a:lstStyle/>
              <a:p>
                <a:pPr>
                  <a:defRPr lang="ru-RU" sz="1000" b="1" i="0" u="none" strike="noStrike" kern="1200" baseline="0">
                    <a:solidFill>
                      <a:schemeClr val="tx1"/>
                    </a:solidFill>
                    <a:latin typeface="+mn-lt"/>
                    <a:ea typeface="+mn-ea"/>
                    <a:cs typeface="+mn-cs"/>
                  </a:defRPr>
                </a:pPr>
                <a:r>
                  <a:rPr lang="ru-RU"/>
                  <a:t>Среднесписочная численность работников, чел., </a:t>
                </a:r>
                <a:r>
                  <a:rPr lang="en-US"/>
                  <a:t>X2</a:t>
                </a:r>
                <a:endParaRPr lang="en-US"/>
              </a:p>
            </c:rich>
          </c:tx>
          <c:layout/>
          <c:overlay val="0"/>
        </c:title>
        <c:numFmt formatCode="General" sourceLinked="1"/>
        <c:majorTickMark val="out"/>
        <c:minorTickMark val="none"/>
        <c:tickLblPos val="nextTo"/>
        <c:txPr>
          <a:bodyPr rot="-60000000" spcFirstLastPara="0" vertOverflow="ellipsis" vert="horz" wrap="square" anchor="ctr" anchorCtr="1"/>
          <a:lstStyle/>
          <a:p>
            <a:pPr>
              <a:defRPr lang="ru-RU" sz="1000" b="0" i="0" u="none" strike="noStrike" kern="1200" baseline="0">
                <a:solidFill>
                  <a:schemeClr val="tx1"/>
                </a:solidFill>
                <a:latin typeface="+mn-lt"/>
                <a:ea typeface="+mn-ea"/>
                <a:cs typeface="+mn-cs"/>
              </a:defRPr>
            </a:pPr>
          </a:p>
        </c:txPr>
        <c:crossAx val="1391986335"/>
        <c:crosses val="autoZero"/>
        <c:crossBetween val="midCat"/>
      </c:valAx>
      <c:valAx>
        <c:axId val="1391986335"/>
        <c:scaling>
          <c:orientation val="minMax"/>
        </c:scaling>
        <c:delete val="0"/>
        <c:axPos val="l"/>
        <c:title>
          <c:tx>
            <c:rich>
              <a:bodyPr rot="-5400000" spcFirstLastPara="0" vertOverflow="ellipsis" vert="horz" wrap="square" anchor="ctr" anchorCtr="1"/>
              <a:lstStyle/>
              <a:p>
                <a:pPr>
                  <a:defRPr lang="ru-RU" sz="1000" b="1" i="0" u="none" strike="noStrike" kern="1200" baseline="0">
                    <a:solidFill>
                      <a:schemeClr val="tx1"/>
                    </a:solidFill>
                    <a:latin typeface="+mn-lt"/>
                    <a:ea typeface="+mn-ea"/>
                    <a:cs typeface="+mn-cs"/>
                  </a:defRPr>
                </a:pPr>
                <a:r>
                  <a:rPr lang="ru-RU"/>
                  <a:t>Прибыль, млн руб., </a:t>
                </a:r>
                <a:r>
                  <a:rPr lang="en-US"/>
                  <a:t>Y</a:t>
                </a:r>
                <a:endParaRPr lang="en-US"/>
              </a:p>
            </c:rich>
          </c:tx>
          <c:layout/>
          <c:overlay val="0"/>
        </c:title>
        <c:numFmt formatCode="General" sourceLinked="1"/>
        <c:majorTickMark val="out"/>
        <c:minorTickMark val="none"/>
        <c:tickLblPos val="nextTo"/>
        <c:txPr>
          <a:bodyPr rot="-60000000" spcFirstLastPara="0" vertOverflow="ellipsis" vert="horz" wrap="square" anchor="ctr" anchorCtr="1"/>
          <a:lstStyle/>
          <a:p>
            <a:pPr>
              <a:defRPr lang="ru-RU" sz="1000" b="0" i="0" u="none" strike="noStrike" kern="1200" baseline="0">
                <a:solidFill>
                  <a:schemeClr val="tx1"/>
                </a:solidFill>
                <a:latin typeface="+mn-lt"/>
                <a:ea typeface="+mn-ea"/>
                <a:cs typeface="+mn-cs"/>
              </a:defRPr>
            </a:pPr>
          </a:p>
        </c:txPr>
        <c:crossAx val="1310442767"/>
        <c:crosses val="autoZero"/>
        <c:crossBetween val="midCat"/>
      </c:valAx>
    </c:plotArea>
    <c:legend>
      <c:legendPos val="r"/>
      <c:layout/>
      <c:overlay val="0"/>
      <c:txPr>
        <a:bodyPr rot="0" spcFirstLastPara="0" vertOverflow="ellipsis" vert="horz" wrap="square" anchor="ctr" anchorCtr="1"/>
        <a:lstStyle/>
        <a:p>
          <a:pPr>
            <a:defRPr lang="ru-RU" sz="1000" b="0" i="0" u="none" strike="noStrike" kern="1200" baseline="0">
              <a:solidFill>
                <a:schemeClr val="tx1"/>
              </a:solidFill>
              <a:latin typeface="+mn-lt"/>
              <a:ea typeface="+mn-ea"/>
              <a:cs typeface="+mn-cs"/>
            </a:defRPr>
          </a:pPr>
        </a:p>
      </c:txPr>
    </c:legend>
    <c:plotVisOnly val="1"/>
    <c:dispBlanksAs val="gap"/>
    <c:showDLblsOverMax val="0"/>
    <c:extLst>
      <c:ext uri="{0b15fc19-7d7d-44ad-8c2d-2c3a37ce22c3}">
        <chartProps xmlns="https://web.wps.cn/et/2018/main" chartId="{da41c687-947a-433e-a078-d727054c3a08}"/>
      </c:ext>
    </c:extLst>
  </c:chart>
  <c:txPr>
    <a:bodyPr/>
    <a:lstStyle/>
    <a:p>
      <a:pPr>
        <a:defRPr lang="ru-RU"/>
      </a:pPr>
    </a:p>
  </c:txPr>
  <c:printSettings>
    <c:headerFooter/>
    <c:pageMargins b="0.75" l="0.7" r="0.7" t="0.75" header="0.3" footer="0.3"/>
    <c:pageSetup/>
  </c:printSettings>
</c:chartSpace>
</file>

<file path=xl/charts/chart63.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0" vertOverflow="ellipsis" vert="horz" wrap="square" anchor="ctr" anchorCtr="1"/>
          <a:lstStyle/>
          <a:p>
            <a:pPr>
              <a:defRPr lang="ru-RU" sz="1800" b="1" i="0" u="none" strike="noStrike" kern="1200" baseline="0">
                <a:solidFill>
                  <a:schemeClr val="tx1"/>
                </a:solidFill>
                <a:latin typeface="+mn-lt"/>
                <a:ea typeface="+mn-ea"/>
                <a:cs typeface="+mn-cs"/>
              </a:defRPr>
            </a:pPr>
            <a:r>
              <a:rPr lang="ru-RU"/>
              <a:t>График нормального распределения</a:t>
            </a:r>
            <a:endParaRPr lang="ru-RU"/>
          </a:p>
        </c:rich>
      </c:tx>
      <c:layout/>
      <c:overlay val="0"/>
    </c:title>
    <c:autoTitleDeleted val="0"/>
    <c:plotArea>
      <c:layout/>
      <c:scatterChart>
        <c:scatterStyle val="marker"/>
        <c:varyColors val="0"/>
        <c:ser>
          <c:idx val="0"/>
          <c:order val="0"/>
          <c:spPr>
            <a:ln w="19050" cap="rnd" cmpd="sng" algn="ctr">
              <a:noFill/>
              <a:prstDash val="solid"/>
              <a:round/>
            </a:ln>
          </c:spPr>
          <c:dLbls>
            <c:delete val="1"/>
          </c:dLbls>
          <c:xVal>
            <c:numRef>
              <c:f>'Анализ данных 8'!$F$25:$F$54</c:f>
              <c:numCache>
                <c:formatCode>General</c:formatCode>
                <c:ptCount val="30"/>
                <c:pt idx="0">
                  <c:v>1.66666666666667</c:v>
                </c:pt>
                <c:pt idx="1">
                  <c:v>5</c:v>
                </c:pt>
                <c:pt idx="2">
                  <c:v>8.33333333333333</c:v>
                </c:pt>
                <c:pt idx="3">
                  <c:v>11.6666666666667</c:v>
                </c:pt>
                <c:pt idx="4">
                  <c:v>15</c:v>
                </c:pt>
                <c:pt idx="5">
                  <c:v>18.3333333333333</c:v>
                </c:pt>
                <c:pt idx="6">
                  <c:v>21.6666666666667</c:v>
                </c:pt>
                <c:pt idx="7">
                  <c:v>25</c:v>
                </c:pt>
                <c:pt idx="8">
                  <c:v>28.3333333333333</c:v>
                </c:pt>
                <c:pt idx="9">
                  <c:v>31.6666666666667</c:v>
                </c:pt>
                <c:pt idx="10">
                  <c:v>35</c:v>
                </c:pt>
                <c:pt idx="11">
                  <c:v>38.3333333333333</c:v>
                </c:pt>
                <c:pt idx="12">
                  <c:v>41.6666666666667</c:v>
                </c:pt>
                <c:pt idx="13">
                  <c:v>45</c:v>
                </c:pt>
                <c:pt idx="14">
                  <c:v>48.3333333333333</c:v>
                </c:pt>
                <c:pt idx="15">
                  <c:v>51.6666666666667</c:v>
                </c:pt>
                <c:pt idx="16">
                  <c:v>55</c:v>
                </c:pt>
                <c:pt idx="17">
                  <c:v>58.3333333333333</c:v>
                </c:pt>
                <c:pt idx="18">
                  <c:v>61.6666666666667</c:v>
                </c:pt>
                <c:pt idx="19">
                  <c:v>65</c:v>
                </c:pt>
                <c:pt idx="20">
                  <c:v>68.3333333333333</c:v>
                </c:pt>
                <c:pt idx="21">
                  <c:v>71.6666666666667</c:v>
                </c:pt>
                <c:pt idx="22">
                  <c:v>75</c:v>
                </c:pt>
                <c:pt idx="23">
                  <c:v>78.3333333333333</c:v>
                </c:pt>
                <c:pt idx="24">
                  <c:v>81.6666666666667</c:v>
                </c:pt>
                <c:pt idx="25">
                  <c:v>85</c:v>
                </c:pt>
                <c:pt idx="26">
                  <c:v>88.3333333333333</c:v>
                </c:pt>
                <c:pt idx="27">
                  <c:v>91.6666666666667</c:v>
                </c:pt>
                <c:pt idx="28">
                  <c:v>95</c:v>
                </c:pt>
                <c:pt idx="29">
                  <c:v>98.3333333333333</c:v>
                </c:pt>
              </c:numCache>
            </c:numRef>
          </c:xVal>
          <c:yVal>
            <c:numRef>
              <c:f>'Анализ данных 8'!$G$25:$G$54</c:f>
              <c:numCache>
                <c:formatCode>General</c:formatCode>
                <c:ptCount val="30"/>
                <c:pt idx="0">
                  <c:v>335</c:v>
                </c:pt>
                <c:pt idx="1">
                  <c:v>336</c:v>
                </c:pt>
                <c:pt idx="2">
                  <c:v>388</c:v>
                </c:pt>
                <c:pt idx="3">
                  <c:v>420</c:v>
                </c:pt>
                <c:pt idx="4">
                  <c:v>450</c:v>
                </c:pt>
                <c:pt idx="5">
                  <c:v>450</c:v>
                </c:pt>
                <c:pt idx="6">
                  <c:v>500</c:v>
                </c:pt>
                <c:pt idx="7">
                  <c:v>520</c:v>
                </c:pt>
                <c:pt idx="8">
                  <c:v>550</c:v>
                </c:pt>
                <c:pt idx="9">
                  <c:v>600</c:v>
                </c:pt>
                <c:pt idx="10">
                  <c:v>605</c:v>
                </c:pt>
                <c:pt idx="11">
                  <c:v>620</c:v>
                </c:pt>
                <c:pt idx="12">
                  <c:v>630</c:v>
                </c:pt>
                <c:pt idx="13">
                  <c:v>655</c:v>
                </c:pt>
                <c:pt idx="14">
                  <c:v>690</c:v>
                </c:pt>
                <c:pt idx="15">
                  <c:v>690</c:v>
                </c:pt>
                <c:pt idx="16">
                  <c:v>710</c:v>
                </c:pt>
                <c:pt idx="17">
                  <c:v>720</c:v>
                </c:pt>
                <c:pt idx="18">
                  <c:v>745</c:v>
                </c:pt>
                <c:pt idx="19">
                  <c:v>760</c:v>
                </c:pt>
                <c:pt idx="20">
                  <c:v>780</c:v>
                </c:pt>
                <c:pt idx="21">
                  <c:v>840</c:v>
                </c:pt>
                <c:pt idx="22">
                  <c:v>845</c:v>
                </c:pt>
                <c:pt idx="23">
                  <c:v>850</c:v>
                </c:pt>
                <c:pt idx="24">
                  <c:v>860</c:v>
                </c:pt>
                <c:pt idx="25">
                  <c:v>890</c:v>
                </c:pt>
                <c:pt idx="26">
                  <c:v>940</c:v>
                </c:pt>
                <c:pt idx="27">
                  <c:v>960</c:v>
                </c:pt>
                <c:pt idx="28">
                  <c:v>980</c:v>
                </c:pt>
                <c:pt idx="29">
                  <c:v>990</c:v>
                </c:pt>
              </c:numCache>
            </c:numRef>
          </c:yVal>
          <c:smooth val="0"/>
        </c:ser>
        <c:dLbls>
          <c:showLegendKey val="0"/>
          <c:showVal val="0"/>
          <c:showCatName val="0"/>
          <c:showSerName val="0"/>
          <c:showPercent val="0"/>
          <c:showBubbleSize val="0"/>
        </c:dLbls>
        <c:axId val="1310442767"/>
        <c:axId val="1391989663"/>
      </c:scatterChart>
      <c:valAx>
        <c:axId val="1310442767"/>
        <c:scaling>
          <c:orientation val="minMax"/>
        </c:scaling>
        <c:delete val="0"/>
        <c:axPos val="b"/>
        <c:title>
          <c:tx>
            <c:rich>
              <a:bodyPr rot="0" spcFirstLastPara="0" vertOverflow="ellipsis" vert="horz" wrap="square" anchor="ctr" anchorCtr="1"/>
              <a:lstStyle/>
              <a:p>
                <a:pPr>
                  <a:defRPr lang="ru-RU" sz="1000" b="1" i="0" u="none" strike="noStrike" kern="1200" baseline="0">
                    <a:solidFill>
                      <a:schemeClr val="tx1"/>
                    </a:solidFill>
                    <a:latin typeface="+mn-lt"/>
                    <a:ea typeface="+mn-ea"/>
                    <a:cs typeface="+mn-cs"/>
                  </a:defRPr>
                </a:pPr>
                <a:r>
                  <a:rPr lang="ru-RU"/>
                  <a:t>Персентиль выборки</a:t>
                </a:r>
                <a:endParaRPr lang="ru-RU"/>
              </a:p>
            </c:rich>
          </c:tx>
          <c:layout/>
          <c:overlay val="0"/>
        </c:title>
        <c:numFmt formatCode="General" sourceLinked="1"/>
        <c:majorTickMark val="out"/>
        <c:minorTickMark val="none"/>
        <c:tickLblPos val="nextTo"/>
        <c:txPr>
          <a:bodyPr rot="-60000000" spcFirstLastPara="0" vertOverflow="ellipsis" vert="horz" wrap="square" anchor="ctr" anchorCtr="1"/>
          <a:lstStyle/>
          <a:p>
            <a:pPr>
              <a:defRPr lang="ru-RU" sz="1000" b="0" i="0" u="none" strike="noStrike" kern="1200" baseline="0">
                <a:solidFill>
                  <a:schemeClr val="tx1"/>
                </a:solidFill>
                <a:latin typeface="+mn-lt"/>
                <a:ea typeface="+mn-ea"/>
                <a:cs typeface="+mn-cs"/>
              </a:defRPr>
            </a:pPr>
          </a:p>
        </c:txPr>
        <c:crossAx val="1391989663"/>
        <c:crosses val="autoZero"/>
        <c:crossBetween val="midCat"/>
      </c:valAx>
      <c:valAx>
        <c:axId val="1391989663"/>
        <c:scaling>
          <c:orientation val="minMax"/>
        </c:scaling>
        <c:delete val="0"/>
        <c:axPos val="l"/>
        <c:title>
          <c:tx>
            <c:rich>
              <a:bodyPr rot="-5400000" spcFirstLastPara="0" vertOverflow="ellipsis" vert="horz" wrap="square" anchor="ctr" anchorCtr="1"/>
              <a:lstStyle/>
              <a:p>
                <a:pPr>
                  <a:defRPr lang="ru-RU" sz="1000" b="1" i="0" u="none" strike="noStrike" kern="1200" baseline="0">
                    <a:solidFill>
                      <a:schemeClr val="tx1"/>
                    </a:solidFill>
                    <a:latin typeface="+mn-lt"/>
                    <a:ea typeface="+mn-ea"/>
                    <a:cs typeface="+mn-cs"/>
                  </a:defRPr>
                </a:pPr>
                <a:r>
                  <a:rPr lang="ru-RU"/>
                  <a:t>Прибыль, млн руб., </a:t>
                </a:r>
                <a:r>
                  <a:rPr lang="en-US"/>
                  <a:t>Y</a:t>
                </a:r>
                <a:endParaRPr lang="en-US"/>
              </a:p>
            </c:rich>
          </c:tx>
          <c:layout/>
          <c:overlay val="0"/>
        </c:title>
        <c:numFmt formatCode="General" sourceLinked="1"/>
        <c:majorTickMark val="out"/>
        <c:minorTickMark val="none"/>
        <c:tickLblPos val="nextTo"/>
        <c:txPr>
          <a:bodyPr rot="-60000000" spcFirstLastPara="0" vertOverflow="ellipsis" vert="horz" wrap="square" anchor="ctr" anchorCtr="1"/>
          <a:lstStyle/>
          <a:p>
            <a:pPr>
              <a:defRPr lang="ru-RU" sz="1000" b="0" i="0" u="none" strike="noStrike" kern="1200" baseline="0">
                <a:solidFill>
                  <a:schemeClr val="tx1"/>
                </a:solidFill>
                <a:latin typeface="+mn-lt"/>
                <a:ea typeface="+mn-ea"/>
                <a:cs typeface="+mn-cs"/>
              </a:defRPr>
            </a:pPr>
          </a:p>
        </c:txPr>
        <c:crossAx val="1310442767"/>
        <c:crosses val="autoZero"/>
        <c:crossBetween val="midCat"/>
      </c:valAx>
    </c:plotArea>
    <c:plotVisOnly val="1"/>
    <c:dispBlanksAs val="gap"/>
    <c:showDLblsOverMax val="0"/>
    <c:extLst>
      <c:ext uri="{0b15fc19-7d7d-44ad-8c2d-2c3a37ce22c3}">
        <chartProps xmlns="https://web.wps.cn/et/2018/main" chartId="{f747c2b4-9707-408b-a46f-80747a23bc4e}"/>
      </c:ext>
    </c:extLst>
  </c:chart>
  <c:txPr>
    <a:bodyPr/>
    <a:lstStyle/>
    <a:p>
      <a:pPr>
        <a:defRPr lang="ru-RU"/>
      </a:pPr>
    </a:p>
  </c:txPr>
  <c:printSettings>
    <c:headerFooter/>
    <c:pageMargins b="0.75" l="0.7" r="0.7" t="0.75" header="0.3" footer="0.3"/>
    <c:pageSetup/>
  </c:printSettings>
</c:chartSpace>
</file>

<file path=xl/charts/chart64.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layout/>
      <c:overlay val="0"/>
      <c:spPr>
        <a:noFill/>
        <a:ln>
          <a:noFill/>
        </a:ln>
        <a:effectLst/>
      </c:spPr>
      <c:txPr>
        <a:bodyPr rot="0" spcFirstLastPara="1" vertOverflow="ellipsis" vert="horz" wrap="square" anchor="ctr" anchorCtr="1"/>
        <a:lstStyle/>
        <a:p>
          <a:pPr>
            <a:defRPr lang="ru-RU" sz="1400" b="0" i="0" u="none" strike="noStrike" kern="1200" spc="0" baseline="0">
              <a:solidFill>
                <a:schemeClr val="tx1">
                  <a:lumMod val="65000"/>
                  <a:lumOff val="35000"/>
                </a:schemeClr>
              </a:solidFill>
              <a:latin typeface="+mn-lt"/>
              <a:ea typeface="+mn-ea"/>
              <a:cs typeface="+mn-cs"/>
            </a:defRPr>
          </a:pPr>
        </a:p>
      </c:txPr>
    </c:title>
    <c:autoTitleDeleted val="0"/>
    <c:plotArea>
      <c:layout/>
      <c:scatterChart>
        <c:scatterStyle val="lineMarker"/>
        <c:varyColors val="0"/>
        <c:ser>
          <c:idx val="0"/>
          <c:order val="0"/>
          <c:tx>
            <c:strRef>
              <c:f>"Прибыль"</c:f>
              <c:strCache>
                <c:ptCount val="1"/>
                <c:pt idx="0">
                  <c:v>Прибыль</c:v>
                </c:pt>
              </c:strCache>
            </c:strRef>
          </c:tx>
          <c:spPr>
            <a:ln w="19050" cap="rnd">
              <a:solidFill>
                <a:schemeClr val="accent1"/>
              </a:solidFill>
              <a:round/>
            </a:ln>
            <a:effectLst/>
          </c:spPr>
          <c:marker>
            <c:symbol val="circle"/>
            <c:size val="5"/>
            <c:spPr>
              <a:solidFill>
                <a:schemeClr val="accent1"/>
              </a:solidFill>
              <a:ln w="9525">
                <a:solidFill>
                  <a:schemeClr val="accent1"/>
                </a:solidFill>
              </a:ln>
              <a:effectLst/>
            </c:spPr>
          </c:marker>
          <c:dLbls>
            <c:delete val="1"/>
          </c:dLbls>
          <c:xVal>
            <c:numRef>
              <c:f>'Исходные данные 9'!$A$71:$A$100</c:f>
              <c:numCache>
                <c:formatCode>General</c:formatCode>
                <c:ptCount val="30"/>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numCache>
            </c:numRef>
          </c:xVal>
          <c:yVal>
            <c:numRef>
              <c:f>'Исходные данные 9'!$B$71:$B$100</c:f>
              <c:numCache>
                <c:formatCode>General</c:formatCode>
                <c:ptCount val="30"/>
                <c:pt idx="0">
                  <c:v>328.43137254902</c:v>
                </c:pt>
                <c:pt idx="1">
                  <c:v>319.817247287264</c:v>
                </c:pt>
                <c:pt idx="2">
                  <c:v>362.071346718775</c:v>
                </c:pt>
                <c:pt idx="3">
                  <c:v>376.858558737821</c:v>
                </c:pt>
                <c:pt idx="4">
                  <c:v>392.016531280674</c:v>
                </c:pt>
                <c:pt idx="5">
                  <c:v>380.598574058906</c:v>
                </c:pt>
                <c:pt idx="6">
                  <c:v>406.622408182592</c:v>
                </c:pt>
                <c:pt idx="7">
                  <c:v>402.749813818949</c:v>
                </c:pt>
                <c:pt idx="8">
                  <c:v>398.117177570851</c:v>
                </c:pt>
                <c:pt idx="9">
                  <c:v>361.924706882592</c:v>
                </c:pt>
                <c:pt idx="10">
                  <c:v>291.952596885291</c:v>
                </c:pt>
                <c:pt idx="11">
                  <c:v>233.743039861674</c:v>
                </c:pt>
                <c:pt idx="12">
                  <c:v>179.934158251289</c:v>
                </c:pt>
                <c:pt idx="13">
                  <c:v>138.573631575067</c:v>
                </c:pt>
                <c:pt idx="14">
                  <c:v>110.589643519311</c:v>
                </c:pt>
                <c:pt idx="15">
                  <c:v>83.7800329691747</c:v>
                </c:pt>
                <c:pt idx="16">
                  <c:v>59.454096359934</c:v>
                </c:pt>
                <c:pt idx="17">
                  <c:v>40.7374851343286</c:v>
                </c:pt>
                <c:pt idx="18">
                  <c:v>32.1770848442269</c:v>
                </c:pt>
                <c:pt idx="19">
                  <c:v>26.90569312533</c:v>
                </c:pt>
                <c:pt idx="20">
                  <c:v>24.0119458097911</c:v>
                </c:pt>
                <c:pt idx="21">
                  <c:v>23.2964131210724</c:v>
                </c:pt>
                <c:pt idx="22">
                  <c:v>21.6991502285121</c:v>
                </c:pt>
                <c:pt idx="23">
                  <c:v>20.5920260067381</c:v>
                </c:pt>
                <c:pt idx="24">
                  <c:v>19.6549859775747</c:v>
                </c:pt>
                <c:pt idx="25">
                  <c:v>19.3720238317181</c:v>
                </c:pt>
                <c:pt idx="26">
                  <c:v>19.4860378831621</c:v>
                </c:pt>
                <c:pt idx="27">
                  <c:v>19.3210043047259</c:v>
                </c:pt>
                <c:pt idx="28">
                  <c:v>18.9649281035972</c:v>
                </c:pt>
                <c:pt idx="29">
                  <c:v>18.2461407410702</c:v>
                </c:pt>
              </c:numCache>
            </c:numRef>
          </c:yVal>
          <c:smooth val="0"/>
        </c:ser>
        <c:dLbls>
          <c:showLegendKey val="0"/>
          <c:showVal val="0"/>
          <c:showCatName val="0"/>
          <c:showSerName val="0"/>
          <c:showPercent val="0"/>
          <c:showBubbleSize val="0"/>
        </c:dLbls>
        <c:axId val="1458086063"/>
        <c:axId val="1392017119"/>
      </c:scatterChart>
      <c:valAx>
        <c:axId val="1458086063"/>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lang="ru-RU" sz="1000" b="0" i="0" u="none" strike="noStrike" kern="1200" baseline="0">
                    <a:solidFill>
                      <a:schemeClr val="tx1">
                        <a:lumMod val="65000"/>
                        <a:lumOff val="35000"/>
                      </a:schemeClr>
                    </a:solidFill>
                    <a:latin typeface="+mn-lt"/>
                    <a:ea typeface="+mn-ea"/>
                    <a:cs typeface="+mn-cs"/>
                  </a:defRPr>
                </a:pPr>
                <a:r>
                  <a:rPr lang="ru-RU"/>
                  <a:t>Номер месяца</a:t>
                </a:r>
                <a:endParaRPr lang="ru-RU"/>
              </a:p>
            </c:rich>
          </c:tx>
          <c:layout/>
          <c:overlay val="0"/>
          <c:spPr>
            <a:noFill/>
            <a:ln>
              <a:noFill/>
            </a:ln>
            <a:effectLst/>
          </c:sp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lang="ru-RU" sz="900" b="0" i="0" u="none" strike="noStrike" kern="1200" baseline="0">
                <a:solidFill>
                  <a:schemeClr val="tx1">
                    <a:lumMod val="65000"/>
                    <a:lumOff val="35000"/>
                  </a:schemeClr>
                </a:solidFill>
                <a:latin typeface="+mn-lt"/>
                <a:ea typeface="+mn-ea"/>
                <a:cs typeface="+mn-cs"/>
              </a:defRPr>
            </a:pPr>
          </a:p>
        </c:txPr>
        <c:crossAx val="1392017119"/>
        <c:crosses val="autoZero"/>
        <c:crossBetween val="midCat"/>
      </c:valAx>
      <c:valAx>
        <c:axId val="1392017119"/>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lang="ru-RU" sz="1000" b="0" i="0" u="none" strike="noStrike" kern="1200" baseline="0">
                    <a:solidFill>
                      <a:schemeClr val="tx1">
                        <a:lumMod val="65000"/>
                        <a:lumOff val="35000"/>
                      </a:schemeClr>
                    </a:solidFill>
                    <a:latin typeface="+mn-lt"/>
                    <a:ea typeface="+mn-ea"/>
                    <a:cs typeface="+mn-cs"/>
                  </a:defRPr>
                </a:pPr>
                <a:r>
                  <a:rPr lang="ru-RU"/>
                  <a:t>Прибыль,</a:t>
                </a:r>
                <a:r>
                  <a:rPr lang="ru-RU" baseline="0"/>
                  <a:t> млн.руб.</a:t>
                </a:r>
                <a:endParaRPr lang="ru-RU"/>
              </a:p>
            </c:rich>
          </c:tx>
          <c:layout/>
          <c:overlay val="0"/>
          <c:spPr>
            <a:noFill/>
            <a:ln>
              <a:noFill/>
            </a:ln>
            <a:effectLst/>
          </c:sp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lang="ru-RU" sz="900" b="0" i="0" u="none" strike="noStrike" kern="1200" baseline="0">
                <a:solidFill>
                  <a:schemeClr val="tx1">
                    <a:lumMod val="65000"/>
                    <a:lumOff val="35000"/>
                  </a:schemeClr>
                </a:solidFill>
                <a:latin typeface="+mn-lt"/>
                <a:ea typeface="+mn-ea"/>
                <a:cs typeface="+mn-cs"/>
              </a:defRPr>
            </a:pPr>
          </a:p>
        </c:txPr>
        <c:crossAx val="1458086063"/>
        <c:crosses val="autoZero"/>
        <c:crossBetween val="midCat"/>
      </c:valAx>
      <c:spPr>
        <a:noFill/>
        <a:ln>
          <a:noFill/>
        </a:ln>
        <a:effectLst/>
      </c:spPr>
    </c:plotArea>
    <c:plotVisOnly val="1"/>
    <c:dispBlanksAs val="gap"/>
    <c:showDLblsOverMax val="0"/>
    <c:extLst>
      <c:ext uri="{0b15fc19-7d7d-44ad-8c2d-2c3a37ce22c3}">
        <chartProps xmlns="https://web.wps.cn/et/2018/main" chartId="{31d81635-3130-4d29-bc74-1ab26a2688b7}"/>
      </c:ext>
    </c:extLst>
  </c:chart>
  <c:spPr>
    <a:solidFill>
      <a:schemeClr val="bg1"/>
    </a:solidFill>
    <a:ln w="9525" cap="flat" cmpd="sng" algn="ctr">
      <a:solidFill>
        <a:schemeClr val="tx1">
          <a:lumMod val="15000"/>
          <a:lumOff val="85000"/>
        </a:schemeClr>
      </a:solidFill>
      <a:round/>
    </a:ln>
    <a:effectLst/>
  </c:spPr>
  <c:txPr>
    <a:bodyPr/>
    <a:lstStyle/>
    <a:p>
      <a:pPr>
        <a:defRPr lang="ru-RU"/>
      </a:pPr>
    </a:p>
  </c:txPr>
  <c:printSettings>
    <c:headerFooter/>
    <c:pageMargins b="0.75" l="0.7" r="0.7" t="0.75" header="0.3" footer="0.3"/>
    <c:pageSetup/>
  </c:printSettings>
</c:chartSpace>
</file>

<file path=xl/charts/chart65.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layout/>
      <c:overlay val="0"/>
      <c:spPr>
        <a:noFill/>
        <a:ln>
          <a:noFill/>
        </a:ln>
        <a:effectLst/>
      </c:spPr>
      <c:txPr>
        <a:bodyPr rot="0" spcFirstLastPara="1" vertOverflow="ellipsis" vert="horz" wrap="square" anchor="ctr" anchorCtr="1"/>
        <a:lstStyle/>
        <a:p>
          <a:pPr>
            <a:defRPr lang="ru-RU" sz="1400" b="0" i="0" u="none" strike="noStrike" kern="1200" spc="0" baseline="0">
              <a:solidFill>
                <a:schemeClr val="tx1">
                  <a:lumMod val="65000"/>
                  <a:lumOff val="35000"/>
                </a:schemeClr>
              </a:solidFill>
              <a:latin typeface="+mn-lt"/>
              <a:ea typeface="+mn-ea"/>
              <a:cs typeface="+mn-cs"/>
            </a:defRPr>
          </a:pPr>
        </a:p>
      </c:txPr>
    </c:title>
    <c:autoTitleDeleted val="0"/>
    <c:plotArea>
      <c:layout/>
      <c:scatterChart>
        <c:scatterStyle val="lineMarker"/>
        <c:varyColors val="0"/>
        <c:ser>
          <c:idx val="0"/>
          <c:order val="0"/>
          <c:tx>
            <c:strRef>
              <c:f>"Среднесписочная численность работников"</c:f>
              <c:strCache>
                <c:ptCount val="1"/>
                <c:pt idx="0">
                  <c:v>Среднесписочная численность работников</c:v>
                </c:pt>
              </c:strCache>
            </c:strRef>
          </c:tx>
          <c:spPr>
            <a:ln w="19050" cap="rnd">
              <a:solidFill>
                <a:schemeClr val="accent1"/>
              </a:solidFill>
              <a:round/>
            </a:ln>
            <a:effectLst/>
          </c:spPr>
          <c:marker>
            <c:symbol val="circle"/>
            <c:size val="5"/>
            <c:spPr>
              <a:solidFill>
                <a:schemeClr val="accent1"/>
              </a:solidFill>
              <a:ln w="9525">
                <a:solidFill>
                  <a:schemeClr val="accent1"/>
                </a:solidFill>
              </a:ln>
              <a:effectLst/>
            </c:spPr>
          </c:marker>
          <c:dLbls>
            <c:delete val="1"/>
          </c:dLbls>
          <c:xVal>
            <c:numRef>
              <c:f>'Исходные данные 9'!$A$71:$A$100</c:f>
              <c:numCache>
                <c:formatCode>General</c:formatCode>
                <c:ptCount val="30"/>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numCache>
            </c:numRef>
          </c:xVal>
          <c:yVal>
            <c:numRef>
              <c:f>'Исходные данные 9'!$C$71:$C$100</c:f>
              <c:numCache>
                <c:formatCode>General</c:formatCode>
                <c:ptCount val="30"/>
                <c:pt idx="0">
                  <c:v>490.196078431373</c:v>
                </c:pt>
                <c:pt idx="1">
                  <c:v>485.436893203884</c:v>
                </c:pt>
                <c:pt idx="2">
                  <c:v>474.985349174888</c:v>
                </c:pt>
                <c:pt idx="3">
                  <c:v>462.100375595185</c:v>
                </c:pt>
                <c:pt idx="4">
                  <c:v>452.996880591001</c:v>
                </c:pt>
                <c:pt idx="5">
                  <c:v>438.957022081272</c:v>
                </c:pt>
                <c:pt idx="6">
                  <c:v>426.953528591722</c:v>
                </c:pt>
                <c:pt idx="7">
                  <c:v>407.396927055321</c:v>
                </c:pt>
                <c:pt idx="8">
                  <c:v>383.640189295548</c:v>
                </c:pt>
                <c:pt idx="9">
                  <c:v>331.764314642376</c:v>
                </c:pt>
                <c:pt idx="10">
                  <c:v>275.06277723077</c:v>
                </c:pt>
                <c:pt idx="11">
                  <c:v>211.122745681512</c:v>
                </c:pt>
                <c:pt idx="12">
                  <c:v>158.513425126135</c:v>
                </c:pt>
                <c:pt idx="13">
                  <c:v>117.417351945285</c:v>
                </c:pt>
                <c:pt idx="14">
                  <c:v>89.7539135808897</c:v>
                </c:pt>
                <c:pt idx="15">
                  <c:v>67.9953890764316</c:v>
                </c:pt>
                <c:pt idx="16">
                  <c:v>47.0608481046239</c:v>
                </c:pt>
                <c:pt idx="17">
                  <c:v>32.8163074693203</c:v>
                </c:pt>
                <c:pt idx="18">
                  <c:v>25.0938071067058</c:v>
                </c:pt>
                <c:pt idx="19">
                  <c:v>20.6040965775553</c:v>
                </c:pt>
                <c:pt idx="20">
                  <c:v>18.0089593573433</c:v>
                </c:pt>
                <c:pt idx="21">
                  <c:v>16.362956835039</c:v>
                </c:pt>
                <c:pt idx="22">
                  <c:v>15.433360103356</c:v>
                </c:pt>
                <c:pt idx="23">
                  <c:v>14.8262587248514</c:v>
                </c:pt>
                <c:pt idx="24">
                  <c:v>13.9413272631634</c:v>
                </c:pt>
                <c:pt idx="25">
                  <c:v>13.2992208552582</c:v>
                </c:pt>
                <c:pt idx="26">
                  <c:v>12.7488439341965</c:v>
                </c:pt>
                <c:pt idx="27">
                  <c:v>12.4781486134688</c:v>
                </c:pt>
                <c:pt idx="28">
                  <c:v>12.0175717880958</c:v>
                </c:pt>
                <c:pt idx="29">
                  <c:v>11.4637369100461</c:v>
                </c:pt>
              </c:numCache>
            </c:numRef>
          </c:yVal>
          <c:smooth val="0"/>
        </c:ser>
        <c:dLbls>
          <c:showLegendKey val="0"/>
          <c:showVal val="0"/>
          <c:showCatName val="0"/>
          <c:showSerName val="0"/>
          <c:showPercent val="0"/>
          <c:showBubbleSize val="0"/>
        </c:dLbls>
        <c:axId val="1240127007"/>
        <c:axId val="1398587951"/>
      </c:scatterChart>
      <c:valAx>
        <c:axId val="1240127007"/>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lang="ru-RU" sz="1000" b="0" i="0" u="none" strike="noStrike" kern="1200" baseline="0">
                    <a:solidFill>
                      <a:schemeClr val="tx1">
                        <a:lumMod val="65000"/>
                        <a:lumOff val="35000"/>
                      </a:schemeClr>
                    </a:solidFill>
                    <a:latin typeface="+mn-lt"/>
                    <a:ea typeface="+mn-ea"/>
                    <a:cs typeface="+mn-cs"/>
                  </a:defRPr>
                </a:pPr>
                <a:r>
                  <a:rPr lang="ru-RU"/>
                  <a:t>Номер месяца</a:t>
                </a:r>
                <a:endParaRPr lang="ru-RU"/>
              </a:p>
            </c:rich>
          </c:tx>
          <c:layout/>
          <c:overlay val="0"/>
          <c:spPr>
            <a:noFill/>
            <a:ln>
              <a:noFill/>
            </a:ln>
            <a:effectLst/>
          </c:sp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lang="ru-RU" sz="900" b="0" i="0" u="none" strike="noStrike" kern="1200" baseline="0">
                <a:solidFill>
                  <a:schemeClr val="tx1">
                    <a:lumMod val="65000"/>
                    <a:lumOff val="35000"/>
                  </a:schemeClr>
                </a:solidFill>
                <a:latin typeface="+mn-lt"/>
                <a:ea typeface="+mn-ea"/>
                <a:cs typeface="+mn-cs"/>
              </a:defRPr>
            </a:pPr>
          </a:p>
        </c:txPr>
        <c:crossAx val="1398587951"/>
        <c:crosses val="autoZero"/>
        <c:crossBetween val="midCat"/>
      </c:valAx>
      <c:valAx>
        <c:axId val="1398587951"/>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lang="ru-RU" sz="1000" b="0" i="0" u="none" strike="noStrike" kern="1200" baseline="0">
                    <a:solidFill>
                      <a:schemeClr val="tx1">
                        <a:lumMod val="65000"/>
                        <a:lumOff val="35000"/>
                      </a:schemeClr>
                    </a:solidFill>
                    <a:latin typeface="+mn-lt"/>
                    <a:ea typeface="+mn-ea"/>
                    <a:cs typeface="+mn-cs"/>
                  </a:defRPr>
                </a:pPr>
                <a:r>
                  <a:rPr lang="ru-RU"/>
                  <a:t>Среднесписочная численность работников, чел.</a:t>
                </a:r>
                <a:endParaRPr lang="ru-RU"/>
              </a:p>
            </c:rich>
          </c:tx>
          <c:layout/>
          <c:overlay val="0"/>
          <c:spPr>
            <a:noFill/>
            <a:ln>
              <a:noFill/>
            </a:ln>
            <a:effectLst/>
          </c:sp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lang="ru-RU" sz="900" b="0" i="0" u="none" strike="noStrike" kern="1200" baseline="0">
                <a:solidFill>
                  <a:schemeClr val="tx1">
                    <a:lumMod val="65000"/>
                    <a:lumOff val="35000"/>
                  </a:schemeClr>
                </a:solidFill>
                <a:latin typeface="+mn-lt"/>
                <a:ea typeface="+mn-ea"/>
                <a:cs typeface="+mn-cs"/>
              </a:defRPr>
            </a:pPr>
          </a:p>
        </c:txPr>
        <c:crossAx val="1240127007"/>
        <c:crosses val="autoZero"/>
        <c:crossBetween val="midCat"/>
      </c:valAx>
      <c:spPr>
        <a:noFill/>
        <a:ln>
          <a:noFill/>
        </a:ln>
        <a:effectLst/>
      </c:spPr>
    </c:plotArea>
    <c:plotVisOnly val="1"/>
    <c:dispBlanksAs val="gap"/>
    <c:showDLblsOverMax val="0"/>
    <c:extLst>
      <c:ext uri="{0b15fc19-7d7d-44ad-8c2d-2c3a37ce22c3}">
        <chartProps xmlns="https://web.wps.cn/et/2018/main" chartId="{ab87aeb9-ba09-45f3-b8e5-cfc8097bc32a}"/>
      </c:ext>
    </c:extLst>
  </c:chart>
  <c:spPr>
    <a:solidFill>
      <a:schemeClr val="bg1"/>
    </a:solidFill>
    <a:ln w="9525" cap="flat" cmpd="sng" algn="ctr">
      <a:solidFill>
        <a:schemeClr val="tx1">
          <a:lumMod val="15000"/>
          <a:lumOff val="85000"/>
        </a:schemeClr>
      </a:solidFill>
      <a:round/>
    </a:ln>
    <a:effectLst/>
  </c:spPr>
  <c:txPr>
    <a:bodyPr/>
    <a:lstStyle/>
    <a:p>
      <a:pPr>
        <a:defRPr lang="ru-RU"/>
      </a:pPr>
    </a:p>
  </c:txPr>
  <c:printSettings>
    <c:headerFooter/>
    <c:pageMargins b="0.75" l="0.7" r="0.7" t="0.75" header="0.3" footer="0.3"/>
    <c:pageSetup/>
  </c:printSettings>
</c:chartSpace>
</file>

<file path=xl/charts/chart66.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lang="ru-RU" sz="1400" b="0" i="0" u="none" strike="noStrike" kern="1200" spc="0" baseline="0">
                <a:solidFill>
                  <a:schemeClr val="tx1">
                    <a:lumMod val="65000"/>
                    <a:lumOff val="35000"/>
                  </a:schemeClr>
                </a:solidFill>
                <a:latin typeface="+mn-lt"/>
                <a:ea typeface="+mn-ea"/>
                <a:cs typeface="+mn-cs"/>
              </a:defRPr>
            </a:pPr>
            <a:r>
              <a:rPr lang="ru-RU"/>
              <a:t>Прогноз прибыли</a:t>
            </a:r>
            <a:endParaRPr lang="ru-RU"/>
          </a:p>
        </c:rich>
      </c:tx>
      <c:layout/>
      <c:overlay val="0"/>
      <c:spPr>
        <a:noFill/>
        <a:ln>
          <a:noFill/>
        </a:ln>
        <a:effectLst/>
      </c:spPr>
    </c:title>
    <c:autoTitleDeleted val="0"/>
    <c:plotArea>
      <c:layout/>
      <c:scatterChart>
        <c:scatterStyle val="lineMarker"/>
        <c:varyColors val="0"/>
        <c:ser>
          <c:idx val="0"/>
          <c:order val="0"/>
          <c:tx>
            <c:strRef>
              <c:f>"Прибыль"</c:f>
              <c:strCache>
                <c:ptCount val="1"/>
                <c:pt idx="0">
                  <c:v>Прибыль</c:v>
                </c:pt>
              </c:strCache>
            </c:strRef>
          </c:tx>
          <c:spPr>
            <a:ln w="19050" cap="rnd">
              <a:solidFill>
                <a:schemeClr val="accent1"/>
              </a:solidFill>
              <a:round/>
            </a:ln>
            <a:effectLst/>
          </c:spPr>
          <c:marker>
            <c:symbol val="circle"/>
            <c:size val="5"/>
            <c:spPr>
              <a:solidFill>
                <a:schemeClr val="accent1"/>
              </a:solidFill>
              <a:ln w="9525">
                <a:solidFill>
                  <a:schemeClr val="accent1"/>
                </a:solidFill>
              </a:ln>
              <a:effectLst/>
            </c:spPr>
          </c:marker>
          <c:dLbls>
            <c:delete val="1"/>
          </c:dLbls>
          <c:xVal>
            <c:numRef>
              <c:f>'Исходные данные 9'!$A$71:$A$100</c:f>
              <c:numCache>
                <c:formatCode>General</c:formatCode>
                <c:ptCount val="30"/>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numCache>
            </c:numRef>
          </c:xVal>
          <c:yVal>
            <c:numRef>
              <c:f>'Исходные данные 9'!$B$71:$B$100</c:f>
              <c:numCache>
                <c:formatCode>General</c:formatCode>
                <c:ptCount val="30"/>
                <c:pt idx="0">
                  <c:v>328.43137254902</c:v>
                </c:pt>
                <c:pt idx="1">
                  <c:v>319.817247287264</c:v>
                </c:pt>
                <c:pt idx="2">
                  <c:v>362.071346718775</c:v>
                </c:pt>
                <c:pt idx="3">
                  <c:v>376.858558737821</c:v>
                </c:pt>
                <c:pt idx="4">
                  <c:v>392.016531280674</c:v>
                </c:pt>
                <c:pt idx="5">
                  <c:v>380.598574058906</c:v>
                </c:pt>
                <c:pt idx="6">
                  <c:v>406.622408182592</c:v>
                </c:pt>
                <c:pt idx="7">
                  <c:v>402.749813818949</c:v>
                </c:pt>
                <c:pt idx="8">
                  <c:v>398.117177570851</c:v>
                </c:pt>
                <c:pt idx="9">
                  <c:v>361.924706882592</c:v>
                </c:pt>
                <c:pt idx="10">
                  <c:v>291.952596885291</c:v>
                </c:pt>
                <c:pt idx="11">
                  <c:v>233.743039861674</c:v>
                </c:pt>
                <c:pt idx="12">
                  <c:v>179.934158251289</c:v>
                </c:pt>
                <c:pt idx="13">
                  <c:v>138.573631575067</c:v>
                </c:pt>
                <c:pt idx="14">
                  <c:v>110.589643519311</c:v>
                </c:pt>
                <c:pt idx="15">
                  <c:v>83.7800329691747</c:v>
                </c:pt>
                <c:pt idx="16">
                  <c:v>59.454096359934</c:v>
                </c:pt>
                <c:pt idx="17">
                  <c:v>40.7374851343286</c:v>
                </c:pt>
                <c:pt idx="18">
                  <c:v>32.1770848442269</c:v>
                </c:pt>
                <c:pt idx="19">
                  <c:v>26.90569312533</c:v>
                </c:pt>
                <c:pt idx="20">
                  <c:v>24.0119458097911</c:v>
                </c:pt>
                <c:pt idx="21">
                  <c:v>23.2964131210724</c:v>
                </c:pt>
                <c:pt idx="22">
                  <c:v>21.6991502285121</c:v>
                </c:pt>
                <c:pt idx="23">
                  <c:v>20.5920260067381</c:v>
                </c:pt>
                <c:pt idx="24">
                  <c:v>19.6549859775747</c:v>
                </c:pt>
                <c:pt idx="25">
                  <c:v>19.3720238317181</c:v>
                </c:pt>
                <c:pt idx="26">
                  <c:v>19.4860378831621</c:v>
                </c:pt>
                <c:pt idx="27">
                  <c:v>19.3210043047259</c:v>
                </c:pt>
                <c:pt idx="28">
                  <c:v>18.9649281035972</c:v>
                </c:pt>
                <c:pt idx="29">
                  <c:v>18.2461407410702</c:v>
                </c:pt>
              </c:numCache>
            </c:numRef>
          </c:yVal>
          <c:smooth val="0"/>
        </c:ser>
        <c:ser>
          <c:idx val="1"/>
          <c:order val="1"/>
          <c:tx>
            <c:strRef>
              <c:f>"Прогноз прибыли"</c:f>
              <c:strCache>
                <c:ptCount val="1"/>
                <c:pt idx="0">
                  <c:v>Прогноз прибыли</c:v>
                </c:pt>
              </c:strCache>
            </c:strRef>
          </c:tx>
          <c:spPr>
            <a:ln w="19050" cap="rnd">
              <a:solidFill>
                <a:schemeClr val="accent2"/>
              </a:solidFill>
              <a:round/>
            </a:ln>
            <a:effectLst/>
          </c:spPr>
          <c:marker>
            <c:symbol val="circle"/>
            <c:size val="5"/>
            <c:spPr>
              <a:solidFill>
                <a:schemeClr val="accent2"/>
              </a:solidFill>
              <a:ln w="9525">
                <a:solidFill>
                  <a:schemeClr val="accent2"/>
                </a:solidFill>
              </a:ln>
              <a:effectLst/>
            </c:spPr>
          </c:marker>
          <c:dLbls>
            <c:delete val="1"/>
          </c:dLbls>
          <c:xVal>
            <c:numRef>
              <c:f>'Исходные данные 9'!$A$71:$A$100</c:f>
              <c:numCache>
                <c:formatCode>General</c:formatCode>
                <c:ptCount val="30"/>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numCache>
            </c:numRef>
          </c:xVal>
          <c:yVal>
            <c:numRef>
              <c:f>'Исходные данные 9'!$K$71:$K$100</c:f>
              <c:numCache>
                <c:formatCode>General</c:formatCode>
                <c:ptCount val="30"/>
                <c:pt idx="0">
                  <c:v>424.574019337506</c:v>
                </c:pt>
                <c:pt idx="1">
                  <c:v>420.451941479861</c:v>
                </c:pt>
                <c:pt idx="2">
                  <c:v>411.399535204247</c:v>
                </c:pt>
                <c:pt idx="3">
                  <c:v>400.239460159791</c:v>
                </c:pt>
                <c:pt idx="4">
                  <c:v>392.354640933342</c:v>
                </c:pt>
                <c:pt idx="5">
                  <c:v>380.194284250195</c:v>
                </c:pt>
                <c:pt idx="6">
                  <c:v>369.797686437217</c:v>
                </c:pt>
                <c:pt idx="7">
                  <c:v>352.859107602678</c:v>
                </c:pt>
                <c:pt idx="8">
                  <c:v>332.282660583169</c:v>
                </c:pt>
                <c:pt idx="9">
                  <c:v>287.351357422552</c:v>
                </c:pt>
                <c:pt idx="10">
                  <c:v>238.240398153971</c:v>
                </c:pt>
                <c:pt idx="11">
                  <c:v>182.859954723442</c:v>
                </c:pt>
                <c:pt idx="12">
                  <c:v>137.293391330507</c:v>
                </c:pt>
                <c:pt idx="13">
                  <c:v>101.698808392968</c:v>
                </c:pt>
                <c:pt idx="14">
                  <c:v>77.7386468742315</c:v>
                </c:pt>
                <c:pt idx="15">
                  <c:v>58.8929142986602</c:v>
                </c:pt>
                <c:pt idx="16">
                  <c:v>40.7608594037525</c:v>
                </c:pt>
                <c:pt idx="17">
                  <c:v>28.4232211866121</c:v>
                </c:pt>
                <c:pt idx="18">
                  <c:v>21.7345242292993</c:v>
                </c:pt>
                <c:pt idx="19">
                  <c:v>17.8458467614517</c:v>
                </c:pt>
                <c:pt idx="20">
                  <c:v>15.5981179672034</c:v>
                </c:pt>
                <c:pt idx="21">
                  <c:v>14.1724641574652</c:v>
                </c:pt>
                <c:pt idx="22">
                  <c:v>13.3673116111685</c:v>
                </c:pt>
                <c:pt idx="23">
                  <c:v>12.8414822874378</c:v>
                </c:pt>
                <c:pt idx="24">
                  <c:v>12.0750157160825</c:v>
                </c:pt>
                <c:pt idx="25">
                  <c:v>11.5188674512513</c:v>
                </c:pt>
                <c:pt idx="26">
                  <c:v>11.0421689385387</c:v>
                </c:pt>
                <c:pt idx="27">
                  <c:v>10.8077113298508</c:v>
                </c:pt>
                <c:pt idx="28">
                  <c:v>10.4087914637676</c:v>
                </c:pt>
                <c:pt idx="29">
                  <c:v>9.92909790731304</c:v>
                </c:pt>
              </c:numCache>
            </c:numRef>
          </c:yVal>
          <c:smooth val="0"/>
        </c:ser>
        <c:dLbls>
          <c:showLegendKey val="0"/>
          <c:showVal val="0"/>
          <c:showCatName val="0"/>
          <c:showSerName val="0"/>
          <c:showPercent val="0"/>
          <c:showBubbleSize val="0"/>
        </c:dLbls>
        <c:axId val="1451672127"/>
        <c:axId val="1454277695"/>
      </c:scatterChart>
      <c:valAx>
        <c:axId val="1451672127"/>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lang="ru-RU" sz="1000" b="0" i="0" u="none" strike="noStrike" kern="1200" baseline="0">
                    <a:solidFill>
                      <a:schemeClr val="tx1">
                        <a:lumMod val="65000"/>
                        <a:lumOff val="35000"/>
                      </a:schemeClr>
                    </a:solidFill>
                    <a:latin typeface="+mn-lt"/>
                    <a:ea typeface="+mn-ea"/>
                    <a:cs typeface="+mn-cs"/>
                  </a:defRPr>
                </a:pPr>
                <a:r>
                  <a:rPr lang="ru-RU"/>
                  <a:t>Номер месяца</a:t>
                </a:r>
                <a:endParaRPr lang="ru-RU"/>
              </a:p>
            </c:rich>
          </c:tx>
          <c:layout/>
          <c:overlay val="0"/>
          <c:spPr>
            <a:noFill/>
            <a:ln>
              <a:noFill/>
            </a:ln>
            <a:effectLst/>
          </c:sp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lang="ru-RU" sz="900" b="0" i="0" u="none" strike="noStrike" kern="1200" baseline="0">
                <a:solidFill>
                  <a:schemeClr val="tx1">
                    <a:lumMod val="65000"/>
                    <a:lumOff val="35000"/>
                  </a:schemeClr>
                </a:solidFill>
                <a:latin typeface="+mn-lt"/>
                <a:ea typeface="+mn-ea"/>
                <a:cs typeface="+mn-cs"/>
              </a:defRPr>
            </a:pPr>
          </a:p>
        </c:txPr>
        <c:crossAx val="1454277695"/>
        <c:crosses val="autoZero"/>
        <c:crossBetween val="midCat"/>
      </c:valAx>
      <c:valAx>
        <c:axId val="1454277695"/>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lang="ru-RU" sz="1000" b="0" i="0" u="none" strike="noStrike" kern="1200" baseline="0">
                    <a:solidFill>
                      <a:schemeClr val="tx1">
                        <a:lumMod val="65000"/>
                        <a:lumOff val="35000"/>
                      </a:schemeClr>
                    </a:solidFill>
                    <a:latin typeface="+mn-lt"/>
                    <a:ea typeface="+mn-ea"/>
                    <a:cs typeface="+mn-cs"/>
                  </a:defRPr>
                </a:pPr>
                <a:r>
                  <a:rPr lang="ru-RU"/>
                  <a:t>Приюыль, млн. руб.</a:t>
                </a:r>
                <a:endParaRPr lang="ru-RU"/>
              </a:p>
            </c:rich>
          </c:tx>
          <c:layout/>
          <c:overlay val="0"/>
          <c:spPr>
            <a:noFill/>
            <a:ln>
              <a:noFill/>
            </a:ln>
            <a:effectLst/>
          </c:sp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lang="ru-RU" sz="900" b="0" i="0" u="none" strike="noStrike" kern="1200" baseline="0">
                <a:solidFill>
                  <a:schemeClr val="tx1">
                    <a:lumMod val="65000"/>
                    <a:lumOff val="35000"/>
                  </a:schemeClr>
                </a:solidFill>
                <a:latin typeface="+mn-lt"/>
                <a:ea typeface="+mn-ea"/>
                <a:cs typeface="+mn-cs"/>
              </a:defRPr>
            </a:pPr>
          </a:p>
        </c:txPr>
        <c:crossAx val="1451672127"/>
        <c:crosses val="autoZero"/>
        <c:crossBetween val="midCat"/>
      </c:valAx>
      <c:spPr>
        <a:noFill/>
        <a:ln>
          <a:noFill/>
        </a:ln>
        <a:effectLst/>
      </c:spPr>
    </c:plotArea>
    <c:legend>
      <c:legendPos val="b"/>
      <c:layout/>
      <c:overlay val="0"/>
      <c:spPr>
        <a:noFill/>
        <a:ln>
          <a:noFill/>
        </a:ln>
        <a:effectLst/>
      </c:spPr>
      <c:txPr>
        <a:bodyPr rot="0" spcFirstLastPara="1" vertOverflow="ellipsis" vert="horz" wrap="square" anchor="ctr" anchorCtr="1"/>
        <a:lstStyle/>
        <a:p>
          <a:pPr>
            <a:defRPr lang="ru-RU" sz="900" b="0" i="0" u="none" strike="noStrike" kern="1200" baseline="0">
              <a:solidFill>
                <a:schemeClr val="tx1">
                  <a:lumMod val="65000"/>
                  <a:lumOff val="35000"/>
                </a:schemeClr>
              </a:solidFill>
              <a:latin typeface="+mn-lt"/>
              <a:ea typeface="+mn-ea"/>
              <a:cs typeface="+mn-cs"/>
            </a:defRPr>
          </a:pPr>
        </a:p>
      </c:txPr>
    </c:legend>
    <c:plotVisOnly val="1"/>
    <c:dispBlanksAs val="gap"/>
    <c:showDLblsOverMax val="0"/>
    <c:extLst>
      <c:ext uri="{0b15fc19-7d7d-44ad-8c2d-2c3a37ce22c3}">
        <chartProps xmlns="https://web.wps.cn/et/2018/main" chartId="{fdf32a60-3ded-4dd1-bdba-6e168e365d4e}"/>
      </c:ext>
    </c:extLst>
  </c:chart>
  <c:spPr>
    <a:solidFill>
      <a:schemeClr val="bg1"/>
    </a:solidFill>
    <a:ln w="9525" cap="flat" cmpd="sng" algn="ctr">
      <a:solidFill>
        <a:schemeClr val="tx1">
          <a:lumMod val="15000"/>
          <a:lumOff val="85000"/>
        </a:schemeClr>
      </a:solidFill>
      <a:round/>
    </a:ln>
    <a:effectLst/>
  </c:spPr>
  <c:txPr>
    <a:bodyPr/>
    <a:lstStyle/>
    <a:p>
      <a:pPr>
        <a:defRPr lang="ru-RU"/>
      </a:pPr>
    </a:p>
  </c:txPr>
  <c:printSettings>
    <c:headerFooter/>
    <c:pageMargins b="0.75" l="0.7" r="0.7" t="0.75" header="0.3" footer="0.3"/>
    <c:pageSetup/>
  </c:printSettings>
</c:chartSpace>
</file>

<file path=xl/charts/chart67.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0" vertOverflow="ellipsis" vert="horz" wrap="square" anchor="ctr" anchorCtr="1"/>
          <a:lstStyle/>
          <a:p>
            <a:pPr>
              <a:defRPr lang="ru-RU" sz="1800" b="1" i="0" u="none" strike="noStrike" kern="1200" baseline="0">
                <a:solidFill>
                  <a:schemeClr val="tx1"/>
                </a:solidFill>
                <a:latin typeface="+mn-lt"/>
                <a:ea typeface="+mn-ea"/>
                <a:cs typeface="+mn-cs"/>
              </a:defRPr>
            </a:pPr>
            <a:r>
              <a:rPr lang="ru-RU"/>
              <a:t>Среднесписочная численность работников, чел., </a:t>
            </a:r>
            <a:r>
              <a:rPr lang="en-US"/>
              <a:t>X2 </a:t>
            </a:r>
            <a:r>
              <a:rPr lang="ru-RU"/>
              <a:t>График остатков</a:t>
            </a:r>
            <a:endParaRPr lang="ru-RU"/>
          </a:p>
        </c:rich>
      </c:tx>
      <c:layout/>
      <c:overlay val="0"/>
    </c:title>
    <c:autoTitleDeleted val="0"/>
    <c:plotArea>
      <c:layout/>
      <c:scatterChart>
        <c:scatterStyle val="marker"/>
        <c:varyColors val="0"/>
        <c:ser>
          <c:idx val="0"/>
          <c:order val="0"/>
          <c:spPr>
            <a:ln w="19050" cap="rnd" cmpd="sng" algn="ctr">
              <a:noFill/>
              <a:prstDash val="solid"/>
              <a:round/>
            </a:ln>
          </c:spPr>
          <c:dLbls>
            <c:delete val="1"/>
          </c:dLbls>
          <c:xVal>
            <c:numRef>
              <c:f>'Исходные данные 9'!$C$71:$C$100</c:f>
              <c:numCache>
                <c:formatCode>General</c:formatCode>
                <c:ptCount val="30"/>
                <c:pt idx="0">
                  <c:v>490.196078431373</c:v>
                </c:pt>
                <c:pt idx="1">
                  <c:v>485.436893203884</c:v>
                </c:pt>
                <c:pt idx="2">
                  <c:v>474.985349174888</c:v>
                </c:pt>
                <c:pt idx="3">
                  <c:v>462.100375595185</c:v>
                </c:pt>
                <c:pt idx="4">
                  <c:v>452.996880591001</c:v>
                </c:pt>
                <c:pt idx="5">
                  <c:v>438.957022081272</c:v>
                </c:pt>
                <c:pt idx="6">
                  <c:v>426.953528591722</c:v>
                </c:pt>
                <c:pt idx="7">
                  <c:v>407.396927055321</c:v>
                </c:pt>
                <c:pt idx="8">
                  <c:v>383.640189295548</c:v>
                </c:pt>
                <c:pt idx="9">
                  <c:v>331.764314642376</c:v>
                </c:pt>
                <c:pt idx="10">
                  <c:v>275.06277723077</c:v>
                </c:pt>
                <c:pt idx="11">
                  <c:v>211.122745681512</c:v>
                </c:pt>
                <c:pt idx="12">
                  <c:v>158.513425126135</c:v>
                </c:pt>
                <c:pt idx="13">
                  <c:v>117.417351945285</c:v>
                </c:pt>
                <c:pt idx="14">
                  <c:v>89.7539135808897</c:v>
                </c:pt>
                <c:pt idx="15">
                  <c:v>67.9953890764316</c:v>
                </c:pt>
                <c:pt idx="16">
                  <c:v>47.0608481046239</c:v>
                </c:pt>
                <c:pt idx="17">
                  <c:v>32.8163074693203</c:v>
                </c:pt>
                <c:pt idx="18">
                  <c:v>25.0938071067058</c:v>
                </c:pt>
                <c:pt idx="19">
                  <c:v>20.6040965775553</c:v>
                </c:pt>
                <c:pt idx="20">
                  <c:v>18.0089593573433</c:v>
                </c:pt>
                <c:pt idx="21">
                  <c:v>16.362956835039</c:v>
                </c:pt>
                <c:pt idx="22">
                  <c:v>15.433360103356</c:v>
                </c:pt>
                <c:pt idx="23">
                  <c:v>14.8262587248514</c:v>
                </c:pt>
                <c:pt idx="24">
                  <c:v>13.9413272631634</c:v>
                </c:pt>
                <c:pt idx="25">
                  <c:v>13.2992208552582</c:v>
                </c:pt>
                <c:pt idx="26">
                  <c:v>12.7488439341965</c:v>
                </c:pt>
                <c:pt idx="27">
                  <c:v>12.4781486134688</c:v>
                </c:pt>
                <c:pt idx="28">
                  <c:v>12.0175717880958</c:v>
                </c:pt>
                <c:pt idx="29">
                  <c:v>11.4637369100461</c:v>
                </c:pt>
              </c:numCache>
            </c:numRef>
          </c:xVal>
          <c:yVal>
            <c:numRef>
              <c:f>'Анализ данных 9'!$C$25:$C$54</c:f>
              <c:numCache>
                <c:formatCode>General</c:formatCode>
                <c:ptCount val="30"/>
                <c:pt idx="0">
                  <c:v>-96.1426467884868</c:v>
                </c:pt>
                <c:pt idx="1">
                  <c:v>-100.634694192596</c:v>
                </c:pt>
                <c:pt idx="2">
                  <c:v>-49.3281884854716</c:v>
                </c:pt>
                <c:pt idx="3">
                  <c:v>-23.3809014219702</c:v>
                </c:pt>
                <c:pt idx="4">
                  <c:v>-0.338109652668493</c:v>
                </c:pt>
                <c:pt idx="5">
                  <c:v>0.404289808711212</c:v>
                </c:pt>
                <c:pt idx="6">
                  <c:v>36.8247217453749</c:v>
                </c:pt>
                <c:pt idx="7">
                  <c:v>49.8907062162704</c:v>
                </c:pt>
                <c:pt idx="8">
                  <c:v>65.8345169876819</c:v>
                </c:pt>
                <c:pt idx="9">
                  <c:v>74.5733494600399</c:v>
                </c:pt>
                <c:pt idx="10">
                  <c:v>53.7121987313205</c:v>
                </c:pt>
                <c:pt idx="11">
                  <c:v>50.8830851382318</c:v>
                </c:pt>
                <c:pt idx="12">
                  <c:v>42.6407669207821</c:v>
                </c:pt>
                <c:pt idx="13">
                  <c:v>36.8748231820987</c:v>
                </c:pt>
                <c:pt idx="14">
                  <c:v>32.8509966450791</c:v>
                </c:pt>
                <c:pt idx="15">
                  <c:v>24.8871186705144</c:v>
                </c:pt>
                <c:pt idx="16">
                  <c:v>18.6932369561815</c:v>
                </c:pt>
                <c:pt idx="17">
                  <c:v>12.3142639477165</c:v>
                </c:pt>
                <c:pt idx="18">
                  <c:v>10.4425606149276</c:v>
                </c:pt>
                <c:pt idx="19">
                  <c:v>9.05984636387831</c:v>
                </c:pt>
                <c:pt idx="20">
                  <c:v>8.41382784258767</c:v>
                </c:pt>
                <c:pt idx="21">
                  <c:v>9.12394896360725</c:v>
                </c:pt>
                <c:pt idx="22">
                  <c:v>8.33183861734362</c:v>
                </c:pt>
                <c:pt idx="23">
                  <c:v>7.75054371930029</c:v>
                </c:pt>
                <c:pt idx="24">
                  <c:v>7.57997026149212</c:v>
                </c:pt>
                <c:pt idx="25">
                  <c:v>7.85315638046684</c:v>
                </c:pt>
                <c:pt idx="26">
                  <c:v>8.4438689446234</c:v>
                </c:pt>
                <c:pt idx="27">
                  <c:v>8.51329297487509</c:v>
                </c:pt>
                <c:pt idx="28">
                  <c:v>8.55613663982953</c:v>
                </c:pt>
                <c:pt idx="29">
                  <c:v>8.31704283375712</c:v>
                </c:pt>
              </c:numCache>
            </c:numRef>
          </c:yVal>
          <c:smooth val="0"/>
        </c:ser>
        <c:dLbls>
          <c:showLegendKey val="0"/>
          <c:showVal val="0"/>
          <c:showCatName val="0"/>
          <c:showSerName val="0"/>
          <c:showPercent val="0"/>
          <c:showBubbleSize val="0"/>
        </c:dLbls>
        <c:axId val="975605711"/>
        <c:axId val="1313950335"/>
      </c:scatterChart>
      <c:valAx>
        <c:axId val="975605711"/>
        <c:scaling>
          <c:orientation val="minMax"/>
        </c:scaling>
        <c:delete val="0"/>
        <c:axPos val="b"/>
        <c:title>
          <c:tx>
            <c:rich>
              <a:bodyPr rot="0" spcFirstLastPara="0" vertOverflow="ellipsis" vert="horz" wrap="square" anchor="ctr" anchorCtr="1"/>
              <a:lstStyle/>
              <a:p>
                <a:pPr>
                  <a:defRPr lang="ru-RU" sz="1000" b="1" i="0" u="none" strike="noStrike" kern="1200" baseline="0">
                    <a:solidFill>
                      <a:schemeClr val="tx1"/>
                    </a:solidFill>
                    <a:latin typeface="+mn-lt"/>
                    <a:ea typeface="+mn-ea"/>
                    <a:cs typeface="+mn-cs"/>
                  </a:defRPr>
                </a:pPr>
                <a:r>
                  <a:rPr lang="ru-RU"/>
                  <a:t>Среднесписочная численность работников, чел., </a:t>
                </a:r>
                <a:r>
                  <a:rPr lang="en-US"/>
                  <a:t>X2</a:t>
                </a:r>
                <a:endParaRPr lang="en-US"/>
              </a:p>
            </c:rich>
          </c:tx>
          <c:layout/>
          <c:overlay val="0"/>
        </c:title>
        <c:numFmt formatCode="General" sourceLinked="1"/>
        <c:majorTickMark val="out"/>
        <c:minorTickMark val="none"/>
        <c:tickLblPos val="nextTo"/>
        <c:txPr>
          <a:bodyPr rot="-60000000" spcFirstLastPara="0" vertOverflow="ellipsis" vert="horz" wrap="square" anchor="ctr" anchorCtr="1"/>
          <a:lstStyle/>
          <a:p>
            <a:pPr>
              <a:defRPr lang="ru-RU" sz="1000" b="0" i="0" u="none" strike="noStrike" kern="1200" baseline="0">
                <a:solidFill>
                  <a:schemeClr val="tx1"/>
                </a:solidFill>
                <a:latin typeface="+mn-lt"/>
                <a:ea typeface="+mn-ea"/>
                <a:cs typeface="+mn-cs"/>
              </a:defRPr>
            </a:pPr>
          </a:p>
        </c:txPr>
        <c:crossAx val="1313950335"/>
        <c:crosses val="autoZero"/>
        <c:crossBetween val="midCat"/>
      </c:valAx>
      <c:valAx>
        <c:axId val="1313950335"/>
        <c:scaling>
          <c:orientation val="minMax"/>
        </c:scaling>
        <c:delete val="0"/>
        <c:axPos val="l"/>
        <c:title>
          <c:tx>
            <c:rich>
              <a:bodyPr rot="-5400000" spcFirstLastPara="0" vertOverflow="ellipsis" vert="horz" wrap="square" anchor="ctr" anchorCtr="1"/>
              <a:lstStyle/>
              <a:p>
                <a:pPr>
                  <a:defRPr lang="ru-RU" sz="1000" b="1" i="0" u="none" strike="noStrike" kern="1200" baseline="0">
                    <a:solidFill>
                      <a:schemeClr val="tx1"/>
                    </a:solidFill>
                    <a:latin typeface="+mn-lt"/>
                    <a:ea typeface="+mn-ea"/>
                    <a:cs typeface="+mn-cs"/>
                  </a:defRPr>
                </a:pPr>
                <a:r>
                  <a:rPr lang="ru-RU"/>
                  <a:t>Остатки</a:t>
                </a:r>
                <a:endParaRPr lang="ru-RU"/>
              </a:p>
            </c:rich>
          </c:tx>
          <c:layout/>
          <c:overlay val="0"/>
        </c:title>
        <c:numFmt formatCode="General" sourceLinked="1"/>
        <c:majorTickMark val="out"/>
        <c:minorTickMark val="none"/>
        <c:tickLblPos val="nextTo"/>
        <c:txPr>
          <a:bodyPr rot="-60000000" spcFirstLastPara="0" vertOverflow="ellipsis" vert="horz" wrap="square" anchor="ctr" anchorCtr="1"/>
          <a:lstStyle/>
          <a:p>
            <a:pPr>
              <a:defRPr lang="ru-RU" sz="1000" b="0" i="0" u="none" strike="noStrike" kern="1200" baseline="0">
                <a:solidFill>
                  <a:schemeClr val="tx1"/>
                </a:solidFill>
                <a:latin typeface="+mn-lt"/>
                <a:ea typeface="+mn-ea"/>
                <a:cs typeface="+mn-cs"/>
              </a:defRPr>
            </a:pPr>
          </a:p>
        </c:txPr>
        <c:crossAx val="975605711"/>
        <c:crosses val="autoZero"/>
        <c:crossBetween val="midCat"/>
      </c:valAx>
    </c:plotArea>
    <c:plotVisOnly val="1"/>
    <c:dispBlanksAs val="gap"/>
    <c:showDLblsOverMax val="0"/>
    <c:extLst>
      <c:ext uri="{0b15fc19-7d7d-44ad-8c2d-2c3a37ce22c3}">
        <chartProps xmlns="https://web.wps.cn/et/2018/main" chartId="{7525f372-e871-4990-aad6-d46e4d43ab9c}"/>
      </c:ext>
    </c:extLst>
  </c:chart>
  <c:txPr>
    <a:bodyPr/>
    <a:lstStyle/>
    <a:p>
      <a:pPr>
        <a:defRPr lang="ru-RU"/>
      </a:pPr>
    </a:p>
  </c:txPr>
  <c:printSettings>
    <c:headerFooter/>
    <c:pageMargins b="0.75" l="0.7" r="0.7" t="0.75" header="0.3" footer="0.3"/>
    <c:pageSetup/>
  </c:printSettings>
</c:chartSpace>
</file>

<file path=xl/charts/chart68.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0" vertOverflow="ellipsis" vert="horz" wrap="square" anchor="ctr" anchorCtr="1"/>
          <a:lstStyle/>
          <a:p>
            <a:pPr>
              <a:defRPr lang="ru-RU" sz="1800" b="1" i="0" u="none" strike="noStrike" kern="1200" baseline="0">
                <a:solidFill>
                  <a:schemeClr val="tx1"/>
                </a:solidFill>
                <a:latin typeface="+mn-lt"/>
                <a:ea typeface="+mn-ea"/>
                <a:cs typeface="+mn-cs"/>
              </a:defRPr>
            </a:pPr>
            <a:r>
              <a:rPr lang="ru-RU"/>
              <a:t>Среднесписочная численность работников, чел., </a:t>
            </a:r>
            <a:r>
              <a:rPr lang="en-US"/>
              <a:t>X2 </a:t>
            </a:r>
            <a:r>
              <a:rPr lang="ru-RU"/>
              <a:t>График подбора</a:t>
            </a:r>
            <a:endParaRPr lang="ru-RU"/>
          </a:p>
        </c:rich>
      </c:tx>
      <c:layout/>
      <c:overlay val="0"/>
    </c:title>
    <c:autoTitleDeleted val="0"/>
    <c:plotArea>
      <c:layout/>
      <c:scatterChart>
        <c:scatterStyle val="marker"/>
        <c:varyColors val="0"/>
        <c:ser>
          <c:idx val="0"/>
          <c:order val="0"/>
          <c:tx>
            <c:strRef>
              <c:f>"Прибыль, млн руб., Y"</c:f>
              <c:strCache>
                <c:ptCount val="1"/>
                <c:pt idx="0">
                  <c:v>Прибыль, млн руб., Y</c:v>
                </c:pt>
              </c:strCache>
            </c:strRef>
          </c:tx>
          <c:spPr>
            <a:ln w="19050" cap="rnd" cmpd="sng" algn="ctr">
              <a:noFill/>
              <a:prstDash val="solid"/>
              <a:round/>
            </a:ln>
          </c:spPr>
          <c:dLbls>
            <c:delete val="1"/>
          </c:dLbls>
          <c:xVal>
            <c:numRef>
              <c:f>'Исходные данные 9'!$C$71:$C$100</c:f>
              <c:numCache>
                <c:formatCode>General</c:formatCode>
                <c:ptCount val="30"/>
                <c:pt idx="0">
                  <c:v>490.196078431373</c:v>
                </c:pt>
                <c:pt idx="1">
                  <c:v>485.436893203884</c:v>
                </c:pt>
                <c:pt idx="2">
                  <c:v>474.985349174888</c:v>
                </c:pt>
                <c:pt idx="3">
                  <c:v>462.100375595185</c:v>
                </c:pt>
                <c:pt idx="4">
                  <c:v>452.996880591001</c:v>
                </c:pt>
                <c:pt idx="5">
                  <c:v>438.957022081272</c:v>
                </c:pt>
                <c:pt idx="6">
                  <c:v>426.953528591722</c:v>
                </c:pt>
                <c:pt idx="7">
                  <c:v>407.396927055321</c:v>
                </c:pt>
                <c:pt idx="8">
                  <c:v>383.640189295548</c:v>
                </c:pt>
                <c:pt idx="9">
                  <c:v>331.764314642376</c:v>
                </c:pt>
                <c:pt idx="10">
                  <c:v>275.06277723077</c:v>
                </c:pt>
                <c:pt idx="11">
                  <c:v>211.122745681512</c:v>
                </c:pt>
                <c:pt idx="12">
                  <c:v>158.513425126135</c:v>
                </c:pt>
                <c:pt idx="13">
                  <c:v>117.417351945285</c:v>
                </c:pt>
                <c:pt idx="14">
                  <c:v>89.7539135808897</c:v>
                </c:pt>
                <c:pt idx="15">
                  <c:v>67.9953890764316</c:v>
                </c:pt>
                <c:pt idx="16">
                  <c:v>47.0608481046239</c:v>
                </c:pt>
                <c:pt idx="17">
                  <c:v>32.8163074693203</c:v>
                </c:pt>
                <c:pt idx="18">
                  <c:v>25.0938071067058</c:v>
                </c:pt>
                <c:pt idx="19">
                  <c:v>20.6040965775553</c:v>
                </c:pt>
                <c:pt idx="20">
                  <c:v>18.0089593573433</c:v>
                </c:pt>
                <c:pt idx="21">
                  <c:v>16.362956835039</c:v>
                </c:pt>
                <c:pt idx="22">
                  <c:v>15.433360103356</c:v>
                </c:pt>
                <c:pt idx="23">
                  <c:v>14.8262587248514</c:v>
                </c:pt>
                <c:pt idx="24">
                  <c:v>13.9413272631634</c:v>
                </c:pt>
                <c:pt idx="25">
                  <c:v>13.2992208552582</c:v>
                </c:pt>
                <c:pt idx="26">
                  <c:v>12.7488439341965</c:v>
                </c:pt>
                <c:pt idx="27">
                  <c:v>12.4781486134688</c:v>
                </c:pt>
                <c:pt idx="28">
                  <c:v>12.0175717880958</c:v>
                </c:pt>
                <c:pt idx="29">
                  <c:v>11.4637369100461</c:v>
                </c:pt>
              </c:numCache>
            </c:numRef>
          </c:xVal>
          <c:yVal>
            <c:numRef>
              <c:f>'Исходные данные 9'!$B$71:$B$100</c:f>
              <c:numCache>
                <c:formatCode>General</c:formatCode>
                <c:ptCount val="30"/>
                <c:pt idx="0">
                  <c:v>328.43137254902</c:v>
                </c:pt>
                <c:pt idx="1">
                  <c:v>319.817247287264</c:v>
                </c:pt>
                <c:pt idx="2">
                  <c:v>362.071346718775</c:v>
                </c:pt>
                <c:pt idx="3">
                  <c:v>376.858558737821</c:v>
                </c:pt>
                <c:pt idx="4">
                  <c:v>392.016531280674</c:v>
                </c:pt>
                <c:pt idx="5">
                  <c:v>380.598574058906</c:v>
                </c:pt>
                <c:pt idx="6">
                  <c:v>406.622408182592</c:v>
                </c:pt>
                <c:pt idx="7">
                  <c:v>402.749813818949</c:v>
                </c:pt>
                <c:pt idx="8">
                  <c:v>398.117177570851</c:v>
                </c:pt>
                <c:pt idx="9">
                  <c:v>361.924706882592</c:v>
                </c:pt>
                <c:pt idx="10">
                  <c:v>291.952596885291</c:v>
                </c:pt>
                <c:pt idx="11">
                  <c:v>233.743039861674</c:v>
                </c:pt>
                <c:pt idx="12">
                  <c:v>179.934158251289</c:v>
                </c:pt>
                <c:pt idx="13">
                  <c:v>138.573631575067</c:v>
                </c:pt>
                <c:pt idx="14">
                  <c:v>110.589643519311</c:v>
                </c:pt>
                <c:pt idx="15">
                  <c:v>83.7800329691747</c:v>
                </c:pt>
                <c:pt idx="16">
                  <c:v>59.454096359934</c:v>
                </c:pt>
                <c:pt idx="17">
                  <c:v>40.7374851343286</c:v>
                </c:pt>
                <c:pt idx="18">
                  <c:v>32.1770848442269</c:v>
                </c:pt>
                <c:pt idx="19">
                  <c:v>26.90569312533</c:v>
                </c:pt>
                <c:pt idx="20">
                  <c:v>24.0119458097911</c:v>
                </c:pt>
                <c:pt idx="21">
                  <c:v>23.2964131210724</c:v>
                </c:pt>
                <c:pt idx="22">
                  <c:v>21.6991502285121</c:v>
                </c:pt>
                <c:pt idx="23">
                  <c:v>20.5920260067381</c:v>
                </c:pt>
                <c:pt idx="24">
                  <c:v>19.6549859775747</c:v>
                </c:pt>
                <c:pt idx="25">
                  <c:v>19.3720238317181</c:v>
                </c:pt>
                <c:pt idx="26">
                  <c:v>19.4860378831621</c:v>
                </c:pt>
                <c:pt idx="27">
                  <c:v>19.3210043047259</c:v>
                </c:pt>
                <c:pt idx="28">
                  <c:v>18.9649281035972</c:v>
                </c:pt>
                <c:pt idx="29">
                  <c:v>18.2461407410702</c:v>
                </c:pt>
              </c:numCache>
            </c:numRef>
          </c:yVal>
          <c:smooth val="0"/>
        </c:ser>
        <c:ser>
          <c:idx val="1"/>
          <c:order val="1"/>
          <c:tx>
            <c:strRef>
              <c:f>"Предсказанное Прибыль, млн руб., Y"</c:f>
              <c:strCache>
                <c:ptCount val="1"/>
                <c:pt idx="0">
                  <c:v>Предсказанное Прибыль, млн руб., Y</c:v>
                </c:pt>
              </c:strCache>
            </c:strRef>
          </c:tx>
          <c:spPr>
            <a:ln w="19050" cap="rnd" cmpd="sng" algn="ctr">
              <a:noFill/>
              <a:prstDash val="solid"/>
              <a:round/>
            </a:ln>
          </c:spPr>
          <c:dLbls>
            <c:delete val="1"/>
          </c:dLbls>
          <c:xVal>
            <c:numRef>
              <c:f>'Исходные данные 9'!$C$71:$C$100</c:f>
              <c:numCache>
                <c:formatCode>General</c:formatCode>
                <c:ptCount val="30"/>
                <c:pt idx="0">
                  <c:v>490.196078431373</c:v>
                </c:pt>
                <c:pt idx="1">
                  <c:v>485.436893203884</c:v>
                </c:pt>
                <c:pt idx="2">
                  <c:v>474.985349174888</c:v>
                </c:pt>
                <c:pt idx="3">
                  <c:v>462.100375595185</c:v>
                </c:pt>
                <c:pt idx="4">
                  <c:v>452.996880591001</c:v>
                </c:pt>
                <c:pt idx="5">
                  <c:v>438.957022081272</c:v>
                </c:pt>
                <c:pt idx="6">
                  <c:v>426.953528591722</c:v>
                </c:pt>
                <c:pt idx="7">
                  <c:v>407.396927055321</c:v>
                </c:pt>
                <c:pt idx="8">
                  <c:v>383.640189295548</c:v>
                </c:pt>
                <c:pt idx="9">
                  <c:v>331.764314642376</c:v>
                </c:pt>
                <c:pt idx="10">
                  <c:v>275.06277723077</c:v>
                </c:pt>
                <c:pt idx="11">
                  <c:v>211.122745681512</c:v>
                </c:pt>
                <c:pt idx="12">
                  <c:v>158.513425126135</c:v>
                </c:pt>
                <c:pt idx="13">
                  <c:v>117.417351945285</c:v>
                </c:pt>
                <c:pt idx="14">
                  <c:v>89.7539135808897</c:v>
                </c:pt>
                <c:pt idx="15">
                  <c:v>67.9953890764316</c:v>
                </c:pt>
                <c:pt idx="16">
                  <c:v>47.0608481046239</c:v>
                </c:pt>
                <c:pt idx="17">
                  <c:v>32.8163074693203</c:v>
                </c:pt>
                <c:pt idx="18">
                  <c:v>25.0938071067058</c:v>
                </c:pt>
                <c:pt idx="19">
                  <c:v>20.6040965775553</c:v>
                </c:pt>
                <c:pt idx="20">
                  <c:v>18.0089593573433</c:v>
                </c:pt>
                <c:pt idx="21">
                  <c:v>16.362956835039</c:v>
                </c:pt>
                <c:pt idx="22">
                  <c:v>15.433360103356</c:v>
                </c:pt>
                <c:pt idx="23">
                  <c:v>14.8262587248514</c:v>
                </c:pt>
                <c:pt idx="24">
                  <c:v>13.9413272631634</c:v>
                </c:pt>
                <c:pt idx="25">
                  <c:v>13.2992208552582</c:v>
                </c:pt>
                <c:pt idx="26">
                  <c:v>12.7488439341965</c:v>
                </c:pt>
                <c:pt idx="27">
                  <c:v>12.4781486134688</c:v>
                </c:pt>
                <c:pt idx="28">
                  <c:v>12.0175717880958</c:v>
                </c:pt>
                <c:pt idx="29">
                  <c:v>11.4637369100461</c:v>
                </c:pt>
              </c:numCache>
            </c:numRef>
          </c:xVal>
          <c:yVal>
            <c:numRef>
              <c:f>'Анализ данных 9'!$B$25:$B$54</c:f>
              <c:numCache>
                <c:formatCode>General</c:formatCode>
                <c:ptCount val="30"/>
                <c:pt idx="0">
                  <c:v>424.574019337506</c:v>
                </c:pt>
                <c:pt idx="1">
                  <c:v>420.451941479861</c:v>
                </c:pt>
                <c:pt idx="2">
                  <c:v>411.399535204247</c:v>
                </c:pt>
                <c:pt idx="3">
                  <c:v>400.239460159791</c:v>
                </c:pt>
                <c:pt idx="4">
                  <c:v>392.354640933342</c:v>
                </c:pt>
                <c:pt idx="5">
                  <c:v>380.194284250195</c:v>
                </c:pt>
                <c:pt idx="6">
                  <c:v>369.797686437217</c:v>
                </c:pt>
                <c:pt idx="7">
                  <c:v>352.859107602678</c:v>
                </c:pt>
                <c:pt idx="8">
                  <c:v>332.28266058317</c:v>
                </c:pt>
                <c:pt idx="9">
                  <c:v>287.351357422552</c:v>
                </c:pt>
                <c:pt idx="10">
                  <c:v>238.240398153971</c:v>
                </c:pt>
                <c:pt idx="11">
                  <c:v>182.859954723442</c:v>
                </c:pt>
                <c:pt idx="12">
                  <c:v>137.293391330507</c:v>
                </c:pt>
                <c:pt idx="13">
                  <c:v>101.698808392968</c:v>
                </c:pt>
                <c:pt idx="14">
                  <c:v>77.7386468742315</c:v>
                </c:pt>
                <c:pt idx="15">
                  <c:v>58.8929142986602</c:v>
                </c:pt>
                <c:pt idx="16">
                  <c:v>40.7608594037525</c:v>
                </c:pt>
                <c:pt idx="17">
                  <c:v>28.4232211866121</c:v>
                </c:pt>
                <c:pt idx="18">
                  <c:v>21.7345242292993</c:v>
                </c:pt>
                <c:pt idx="19">
                  <c:v>17.8458467614517</c:v>
                </c:pt>
                <c:pt idx="20">
                  <c:v>15.5981179672034</c:v>
                </c:pt>
                <c:pt idx="21">
                  <c:v>14.1724641574652</c:v>
                </c:pt>
                <c:pt idx="22">
                  <c:v>13.3673116111685</c:v>
                </c:pt>
                <c:pt idx="23">
                  <c:v>12.8414822874378</c:v>
                </c:pt>
                <c:pt idx="24">
                  <c:v>12.0750157160825</c:v>
                </c:pt>
                <c:pt idx="25">
                  <c:v>11.5188674512513</c:v>
                </c:pt>
                <c:pt idx="26">
                  <c:v>11.0421689385387</c:v>
                </c:pt>
                <c:pt idx="27">
                  <c:v>10.8077113298508</c:v>
                </c:pt>
                <c:pt idx="28">
                  <c:v>10.4087914637676</c:v>
                </c:pt>
                <c:pt idx="29">
                  <c:v>9.92909790731304</c:v>
                </c:pt>
              </c:numCache>
            </c:numRef>
          </c:yVal>
          <c:smooth val="0"/>
        </c:ser>
        <c:dLbls>
          <c:showLegendKey val="0"/>
          <c:showVal val="0"/>
          <c:showCatName val="0"/>
          <c:showSerName val="0"/>
          <c:showPercent val="0"/>
          <c:showBubbleSize val="0"/>
        </c:dLbls>
        <c:axId val="1301949167"/>
        <c:axId val="1303907743"/>
      </c:scatterChart>
      <c:valAx>
        <c:axId val="1301949167"/>
        <c:scaling>
          <c:orientation val="minMax"/>
        </c:scaling>
        <c:delete val="0"/>
        <c:axPos val="b"/>
        <c:title>
          <c:tx>
            <c:rich>
              <a:bodyPr rot="0" spcFirstLastPara="0" vertOverflow="ellipsis" vert="horz" wrap="square" anchor="ctr" anchorCtr="1"/>
              <a:lstStyle/>
              <a:p>
                <a:pPr>
                  <a:defRPr lang="ru-RU" sz="1000" b="1" i="0" u="none" strike="noStrike" kern="1200" baseline="0">
                    <a:solidFill>
                      <a:schemeClr val="tx1"/>
                    </a:solidFill>
                    <a:latin typeface="+mn-lt"/>
                    <a:ea typeface="+mn-ea"/>
                    <a:cs typeface="+mn-cs"/>
                  </a:defRPr>
                </a:pPr>
                <a:r>
                  <a:rPr lang="ru-RU"/>
                  <a:t>Среднесписочная численность работников, чел., </a:t>
                </a:r>
                <a:r>
                  <a:rPr lang="en-US"/>
                  <a:t>X2</a:t>
                </a:r>
                <a:endParaRPr lang="en-US"/>
              </a:p>
            </c:rich>
          </c:tx>
          <c:layout/>
          <c:overlay val="0"/>
        </c:title>
        <c:numFmt formatCode="General" sourceLinked="1"/>
        <c:majorTickMark val="out"/>
        <c:minorTickMark val="none"/>
        <c:tickLblPos val="nextTo"/>
        <c:txPr>
          <a:bodyPr rot="-60000000" spcFirstLastPara="0" vertOverflow="ellipsis" vert="horz" wrap="square" anchor="ctr" anchorCtr="1"/>
          <a:lstStyle/>
          <a:p>
            <a:pPr>
              <a:defRPr lang="ru-RU" sz="1000" b="0" i="0" u="none" strike="noStrike" kern="1200" baseline="0">
                <a:solidFill>
                  <a:schemeClr val="tx1"/>
                </a:solidFill>
                <a:latin typeface="+mn-lt"/>
                <a:ea typeface="+mn-ea"/>
                <a:cs typeface="+mn-cs"/>
              </a:defRPr>
            </a:pPr>
          </a:p>
        </c:txPr>
        <c:crossAx val="1303907743"/>
        <c:crosses val="autoZero"/>
        <c:crossBetween val="midCat"/>
      </c:valAx>
      <c:valAx>
        <c:axId val="1303907743"/>
        <c:scaling>
          <c:orientation val="minMax"/>
        </c:scaling>
        <c:delete val="0"/>
        <c:axPos val="l"/>
        <c:title>
          <c:tx>
            <c:rich>
              <a:bodyPr rot="-5400000" spcFirstLastPara="0" vertOverflow="ellipsis" vert="horz" wrap="square" anchor="ctr" anchorCtr="1"/>
              <a:lstStyle/>
              <a:p>
                <a:pPr>
                  <a:defRPr lang="ru-RU" sz="1000" b="1" i="0" u="none" strike="noStrike" kern="1200" baseline="0">
                    <a:solidFill>
                      <a:schemeClr val="tx1"/>
                    </a:solidFill>
                    <a:latin typeface="+mn-lt"/>
                    <a:ea typeface="+mn-ea"/>
                    <a:cs typeface="+mn-cs"/>
                  </a:defRPr>
                </a:pPr>
                <a:r>
                  <a:rPr lang="ru-RU"/>
                  <a:t>Прибыль, млн руб., </a:t>
                </a:r>
                <a:r>
                  <a:rPr lang="en-US"/>
                  <a:t>Y</a:t>
                </a:r>
                <a:endParaRPr lang="en-US"/>
              </a:p>
            </c:rich>
          </c:tx>
          <c:layout/>
          <c:overlay val="0"/>
        </c:title>
        <c:numFmt formatCode="General" sourceLinked="1"/>
        <c:majorTickMark val="out"/>
        <c:minorTickMark val="none"/>
        <c:tickLblPos val="nextTo"/>
        <c:txPr>
          <a:bodyPr rot="-60000000" spcFirstLastPara="0" vertOverflow="ellipsis" vert="horz" wrap="square" anchor="ctr" anchorCtr="1"/>
          <a:lstStyle/>
          <a:p>
            <a:pPr>
              <a:defRPr lang="ru-RU" sz="1000" b="0" i="0" u="none" strike="noStrike" kern="1200" baseline="0">
                <a:solidFill>
                  <a:schemeClr val="tx1"/>
                </a:solidFill>
                <a:latin typeface="+mn-lt"/>
                <a:ea typeface="+mn-ea"/>
                <a:cs typeface="+mn-cs"/>
              </a:defRPr>
            </a:pPr>
          </a:p>
        </c:txPr>
        <c:crossAx val="1301949167"/>
        <c:crosses val="autoZero"/>
        <c:crossBetween val="midCat"/>
      </c:valAx>
    </c:plotArea>
    <c:legend>
      <c:legendPos val="r"/>
      <c:layout/>
      <c:overlay val="0"/>
      <c:txPr>
        <a:bodyPr rot="0" spcFirstLastPara="0" vertOverflow="ellipsis" vert="horz" wrap="square" anchor="ctr" anchorCtr="1"/>
        <a:lstStyle/>
        <a:p>
          <a:pPr>
            <a:defRPr lang="ru-RU" sz="1000" b="0" i="0" u="none" strike="noStrike" kern="1200" baseline="0">
              <a:solidFill>
                <a:schemeClr val="tx1"/>
              </a:solidFill>
              <a:latin typeface="+mn-lt"/>
              <a:ea typeface="+mn-ea"/>
              <a:cs typeface="+mn-cs"/>
            </a:defRPr>
          </a:pPr>
        </a:p>
      </c:txPr>
    </c:legend>
    <c:plotVisOnly val="1"/>
    <c:dispBlanksAs val="gap"/>
    <c:showDLblsOverMax val="0"/>
    <c:extLst>
      <c:ext uri="{0b15fc19-7d7d-44ad-8c2d-2c3a37ce22c3}">
        <chartProps xmlns="https://web.wps.cn/et/2018/main" chartId="{6817dda9-8d5e-4e55-9c6c-46f416a568e3}"/>
      </c:ext>
    </c:extLst>
  </c:chart>
  <c:txPr>
    <a:bodyPr/>
    <a:lstStyle/>
    <a:p>
      <a:pPr>
        <a:defRPr lang="ru-RU"/>
      </a:pPr>
    </a:p>
  </c:txPr>
  <c:printSettings>
    <c:headerFooter/>
    <c:pageMargins b="0.75" l="0.7" r="0.7" t="0.75" header="0.3" footer="0.3"/>
    <c:pageSetup/>
  </c:printSettings>
</c:chartSpace>
</file>

<file path=xl/charts/chart69.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0" vertOverflow="ellipsis" vert="horz" wrap="square" anchor="ctr" anchorCtr="1"/>
          <a:lstStyle/>
          <a:p>
            <a:pPr>
              <a:defRPr lang="ru-RU" sz="1800" b="1" i="0" u="none" strike="noStrike" kern="1200" baseline="0">
                <a:solidFill>
                  <a:schemeClr val="tx1"/>
                </a:solidFill>
                <a:latin typeface="+mn-lt"/>
                <a:ea typeface="+mn-ea"/>
                <a:cs typeface="+mn-cs"/>
              </a:defRPr>
            </a:pPr>
            <a:r>
              <a:rPr lang="ru-RU"/>
              <a:t>График нормального распределения</a:t>
            </a:r>
            <a:endParaRPr lang="ru-RU"/>
          </a:p>
        </c:rich>
      </c:tx>
      <c:layout/>
      <c:overlay val="0"/>
    </c:title>
    <c:autoTitleDeleted val="0"/>
    <c:plotArea>
      <c:layout/>
      <c:scatterChart>
        <c:scatterStyle val="marker"/>
        <c:varyColors val="0"/>
        <c:ser>
          <c:idx val="0"/>
          <c:order val="0"/>
          <c:spPr>
            <a:ln w="19050" cap="rnd" cmpd="sng" algn="ctr">
              <a:noFill/>
              <a:prstDash val="solid"/>
              <a:round/>
            </a:ln>
          </c:spPr>
          <c:dLbls>
            <c:delete val="1"/>
          </c:dLbls>
          <c:xVal>
            <c:numRef>
              <c:f>'Анализ данных 9'!$F$25:$F$54</c:f>
              <c:numCache>
                <c:formatCode>General</c:formatCode>
                <c:ptCount val="30"/>
                <c:pt idx="0">
                  <c:v>1.66666666666667</c:v>
                </c:pt>
                <c:pt idx="1">
                  <c:v>5</c:v>
                </c:pt>
                <c:pt idx="2">
                  <c:v>8.33333333333333</c:v>
                </c:pt>
                <c:pt idx="3">
                  <c:v>11.6666666666667</c:v>
                </c:pt>
                <c:pt idx="4">
                  <c:v>15</c:v>
                </c:pt>
                <c:pt idx="5">
                  <c:v>18.3333333333333</c:v>
                </c:pt>
                <c:pt idx="6">
                  <c:v>21.6666666666667</c:v>
                </c:pt>
                <c:pt idx="7">
                  <c:v>25</c:v>
                </c:pt>
                <c:pt idx="8">
                  <c:v>28.3333333333333</c:v>
                </c:pt>
                <c:pt idx="9">
                  <c:v>31.6666666666667</c:v>
                </c:pt>
                <c:pt idx="10">
                  <c:v>35</c:v>
                </c:pt>
                <c:pt idx="11">
                  <c:v>38.3333333333333</c:v>
                </c:pt>
                <c:pt idx="12">
                  <c:v>41.6666666666667</c:v>
                </c:pt>
                <c:pt idx="13">
                  <c:v>45</c:v>
                </c:pt>
                <c:pt idx="14">
                  <c:v>48.3333333333333</c:v>
                </c:pt>
                <c:pt idx="15">
                  <c:v>51.6666666666667</c:v>
                </c:pt>
                <c:pt idx="16">
                  <c:v>55</c:v>
                </c:pt>
                <c:pt idx="17">
                  <c:v>58.3333333333333</c:v>
                </c:pt>
                <c:pt idx="18">
                  <c:v>61.6666666666667</c:v>
                </c:pt>
                <c:pt idx="19">
                  <c:v>65</c:v>
                </c:pt>
                <c:pt idx="20">
                  <c:v>68.3333333333333</c:v>
                </c:pt>
                <c:pt idx="21">
                  <c:v>71.6666666666667</c:v>
                </c:pt>
                <c:pt idx="22">
                  <c:v>75</c:v>
                </c:pt>
                <c:pt idx="23">
                  <c:v>78.3333333333333</c:v>
                </c:pt>
                <c:pt idx="24">
                  <c:v>81.6666666666667</c:v>
                </c:pt>
                <c:pt idx="25">
                  <c:v>85</c:v>
                </c:pt>
                <c:pt idx="26">
                  <c:v>88.3333333333333</c:v>
                </c:pt>
                <c:pt idx="27">
                  <c:v>91.6666666666667</c:v>
                </c:pt>
                <c:pt idx="28">
                  <c:v>95</c:v>
                </c:pt>
                <c:pt idx="29">
                  <c:v>98.3333333333333</c:v>
                </c:pt>
              </c:numCache>
            </c:numRef>
          </c:xVal>
          <c:yVal>
            <c:numRef>
              <c:f>'Анализ данных 9'!$G$25:$G$54</c:f>
              <c:numCache>
                <c:formatCode>General</c:formatCode>
                <c:ptCount val="30"/>
                <c:pt idx="0">
                  <c:v>18.2461407410702</c:v>
                </c:pt>
                <c:pt idx="1">
                  <c:v>18.9649281035972</c:v>
                </c:pt>
                <c:pt idx="2">
                  <c:v>19.3210043047259</c:v>
                </c:pt>
                <c:pt idx="3">
                  <c:v>19.3720238317181</c:v>
                </c:pt>
                <c:pt idx="4">
                  <c:v>19.4860378831621</c:v>
                </c:pt>
                <c:pt idx="5">
                  <c:v>19.6549859775747</c:v>
                </c:pt>
                <c:pt idx="6">
                  <c:v>20.5920260067381</c:v>
                </c:pt>
                <c:pt idx="7">
                  <c:v>21.6991502285121</c:v>
                </c:pt>
                <c:pt idx="8">
                  <c:v>23.2964131210724</c:v>
                </c:pt>
                <c:pt idx="9">
                  <c:v>24.0119458097911</c:v>
                </c:pt>
                <c:pt idx="10">
                  <c:v>26.90569312533</c:v>
                </c:pt>
                <c:pt idx="11">
                  <c:v>32.1770848442269</c:v>
                </c:pt>
                <c:pt idx="12">
                  <c:v>40.7374851343286</c:v>
                </c:pt>
                <c:pt idx="13">
                  <c:v>59.454096359934</c:v>
                </c:pt>
                <c:pt idx="14">
                  <c:v>83.7800329691747</c:v>
                </c:pt>
                <c:pt idx="15">
                  <c:v>110.589643519311</c:v>
                </c:pt>
                <c:pt idx="16">
                  <c:v>138.573631575067</c:v>
                </c:pt>
                <c:pt idx="17">
                  <c:v>179.934158251289</c:v>
                </c:pt>
                <c:pt idx="18">
                  <c:v>233.743039861674</c:v>
                </c:pt>
                <c:pt idx="19">
                  <c:v>291.952596885291</c:v>
                </c:pt>
                <c:pt idx="20">
                  <c:v>319.817247287264</c:v>
                </c:pt>
                <c:pt idx="21">
                  <c:v>328.43137254902</c:v>
                </c:pt>
                <c:pt idx="22">
                  <c:v>361.924706882592</c:v>
                </c:pt>
                <c:pt idx="23">
                  <c:v>362.071346718775</c:v>
                </c:pt>
                <c:pt idx="24">
                  <c:v>376.858558737821</c:v>
                </c:pt>
                <c:pt idx="25">
                  <c:v>380.598574058906</c:v>
                </c:pt>
                <c:pt idx="26">
                  <c:v>392.016531280674</c:v>
                </c:pt>
                <c:pt idx="27">
                  <c:v>398.117177570851</c:v>
                </c:pt>
                <c:pt idx="28">
                  <c:v>402.749813818949</c:v>
                </c:pt>
                <c:pt idx="29">
                  <c:v>406.622408182592</c:v>
                </c:pt>
              </c:numCache>
            </c:numRef>
          </c:yVal>
          <c:smooth val="0"/>
        </c:ser>
        <c:dLbls>
          <c:showLegendKey val="0"/>
          <c:showVal val="0"/>
          <c:showCatName val="0"/>
          <c:showSerName val="0"/>
          <c:showPercent val="0"/>
          <c:showBubbleSize val="0"/>
        </c:dLbls>
        <c:axId val="1301945167"/>
        <c:axId val="1303906079"/>
      </c:scatterChart>
      <c:valAx>
        <c:axId val="1301945167"/>
        <c:scaling>
          <c:orientation val="minMax"/>
        </c:scaling>
        <c:delete val="0"/>
        <c:axPos val="b"/>
        <c:title>
          <c:tx>
            <c:rich>
              <a:bodyPr rot="0" spcFirstLastPara="0" vertOverflow="ellipsis" vert="horz" wrap="square" anchor="ctr" anchorCtr="1"/>
              <a:lstStyle/>
              <a:p>
                <a:pPr>
                  <a:defRPr lang="ru-RU" sz="1000" b="1" i="0" u="none" strike="noStrike" kern="1200" baseline="0">
                    <a:solidFill>
                      <a:schemeClr val="tx1"/>
                    </a:solidFill>
                    <a:latin typeface="+mn-lt"/>
                    <a:ea typeface="+mn-ea"/>
                    <a:cs typeface="+mn-cs"/>
                  </a:defRPr>
                </a:pPr>
                <a:r>
                  <a:rPr lang="ru-RU"/>
                  <a:t>Персентиль выборки</a:t>
                </a:r>
                <a:endParaRPr lang="ru-RU"/>
              </a:p>
            </c:rich>
          </c:tx>
          <c:layout/>
          <c:overlay val="0"/>
        </c:title>
        <c:numFmt formatCode="General" sourceLinked="1"/>
        <c:majorTickMark val="out"/>
        <c:minorTickMark val="none"/>
        <c:tickLblPos val="nextTo"/>
        <c:txPr>
          <a:bodyPr rot="-60000000" spcFirstLastPara="0" vertOverflow="ellipsis" vert="horz" wrap="square" anchor="ctr" anchorCtr="1"/>
          <a:lstStyle/>
          <a:p>
            <a:pPr>
              <a:defRPr lang="ru-RU" sz="1000" b="0" i="0" u="none" strike="noStrike" kern="1200" baseline="0">
                <a:solidFill>
                  <a:schemeClr val="tx1"/>
                </a:solidFill>
                <a:latin typeface="+mn-lt"/>
                <a:ea typeface="+mn-ea"/>
                <a:cs typeface="+mn-cs"/>
              </a:defRPr>
            </a:pPr>
          </a:p>
        </c:txPr>
        <c:crossAx val="1303906079"/>
        <c:crosses val="autoZero"/>
        <c:crossBetween val="midCat"/>
      </c:valAx>
      <c:valAx>
        <c:axId val="1303906079"/>
        <c:scaling>
          <c:orientation val="minMax"/>
        </c:scaling>
        <c:delete val="0"/>
        <c:axPos val="l"/>
        <c:title>
          <c:tx>
            <c:rich>
              <a:bodyPr rot="-5400000" spcFirstLastPara="0" vertOverflow="ellipsis" vert="horz" wrap="square" anchor="ctr" anchorCtr="1"/>
              <a:lstStyle/>
              <a:p>
                <a:pPr>
                  <a:defRPr lang="ru-RU" sz="1000" b="1" i="0" u="none" strike="noStrike" kern="1200" baseline="0">
                    <a:solidFill>
                      <a:schemeClr val="tx1"/>
                    </a:solidFill>
                    <a:latin typeface="+mn-lt"/>
                    <a:ea typeface="+mn-ea"/>
                    <a:cs typeface="+mn-cs"/>
                  </a:defRPr>
                </a:pPr>
                <a:r>
                  <a:rPr lang="ru-RU"/>
                  <a:t>Прибыль, млн руб., </a:t>
                </a:r>
                <a:r>
                  <a:rPr lang="en-US"/>
                  <a:t>Y</a:t>
                </a:r>
                <a:endParaRPr lang="en-US"/>
              </a:p>
            </c:rich>
          </c:tx>
          <c:layout/>
          <c:overlay val="0"/>
        </c:title>
        <c:numFmt formatCode="General" sourceLinked="1"/>
        <c:majorTickMark val="out"/>
        <c:minorTickMark val="none"/>
        <c:tickLblPos val="nextTo"/>
        <c:txPr>
          <a:bodyPr rot="-60000000" spcFirstLastPara="0" vertOverflow="ellipsis" vert="horz" wrap="square" anchor="ctr" anchorCtr="1"/>
          <a:lstStyle/>
          <a:p>
            <a:pPr>
              <a:defRPr lang="ru-RU" sz="1000" b="0" i="0" u="none" strike="noStrike" kern="1200" baseline="0">
                <a:solidFill>
                  <a:schemeClr val="tx1"/>
                </a:solidFill>
                <a:latin typeface="+mn-lt"/>
                <a:ea typeface="+mn-ea"/>
                <a:cs typeface="+mn-cs"/>
              </a:defRPr>
            </a:pPr>
          </a:p>
        </c:txPr>
        <c:crossAx val="1301945167"/>
        <c:crosses val="autoZero"/>
        <c:crossBetween val="midCat"/>
      </c:valAx>
    </c:plotArea>
    <c:plotVisOnly val="1"/>
    <c:dispBlanksAs val="gap"/>
    <c:showDLblsOverMax val="0"/>
    <c:extLst>
      <c:ext uri="{0b15fc19-7d7d-44ad-8c2d-2c3a37ce22c3}">
        <chartProps xmlns="https://web.wps.cn/et/2018/main" chartId="{99a1e13f-562c-486d-bcb1-70f7aa5014e6}"/>
      </c:ext>
    </c:extLst>
  </c:chart>
  <c:txPr>
    <a:bodyPr/>
    <a:lstStyle/>
    <a:p>
      <a:pPr>
        <a:defRPr lang="ru-RU"/>
      </a:pPr>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9" Type="http://schemas.openxmlformats.org/officeDocument/2006/relationships/chart" Target="../charts/chart9.xml"/><Relationship Id="rId8" Type="http://schemas.openxmlformats.org/officeDocument/2006/relationships/chart" Target="../charts/chart8.xml"/><Relationship Id="rId7" Type="http://schemas.openxmlformats.org/officeDocument/2006/relationships/chart" Target="../charts/chart7.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 Id="rId3" Type="http://schemas.openxmlformats.org/officeDocument/2006/relationships/chart" Target="../charts/chart3.xml"/><Relationship Id="rId2" Type="http://schemas.openxmlformats.org/officeDocument/2006/relationships/chart" Target="../charts/chart2.xml"/><Relationship Id="rId15" Type="http://schemas.openxmlformats.org/officeDocument/2006/relationships/chart" Target="../charts/chart15.xml"/><Relationship Id="rId14" Type="http://schemas.openxmlformats.org/officeDocument/2006/relationships/chart" Target="../charts/chart14.xml"/><Relationship Id="rId13" Type="http://schemas.openxmlformats.org/officeDocument/2006/relationships/chart" Target="../charts/chart13.xml"/><Relationship Id="rId12" Type="http://schemas.openxmlformats.org/officeDocument/2006/relationships/chart" Target="../charts/chart12.xml"/><Relationship Id="rId11" Type="http://schemas.openxmlformats.org/officeDocument/2006/relationships/chart" Target="../charts/chart11.xml"/><Relationship Id="rId10" Type="http://schemas.openxmlformats.org/officeDocument/2006/relationships/chart" Target="../charts/chart10.xml"/><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9" Type="http://schemas.openxmlformats.org/officeDocument/2006/relationships/chart" Target="../charts/chart24.xml"/><Relationship Id="rId8" Type="http://schemas.openxmlformats.org/officeDocument/2006/relationships/chart" Target="../charts/chart23.xml"/><Relationship Id="rId7" Type="http://schemas.openxmlformats.org/officeDocument/2006/relationships/chart" Target="../charts/chart22.xml"/><Relationship Id="rId6" Type="http://schemas.openxmlformats.org/officeDocument/2006/relationships/chart" Target="../charts/chart21.xml"/><Relationship Id="rId5" Type="http://schemas.openxmlformats.org/officeDocument/2006/relationships/chart" Target="../charts/chart20.xml"/><Relationship Id="rId4" Type="http://schemas.openxmlformats.org/officeDocument/2006/relationships/chart" Target="../charts/chart19.xml"/><Relationship Id="rId3" Type="http://schemas.openxmlformats.org/officeDocument/2006/relationships/chart" Target="../charts/chart18.xml"/><Relationship Id="rId2" Type="http://schemas.openxmlformats.org/officeDocument/2006/relationships/chart" Target="../charts/chart17.xml"/><Relationship Id="rId13" Type="http://schemas.openxmlformats.org/officeDocument/2006/relationships/chart" Target="../charts/chart28.xml"/><Relationship Id="rId12" Type="http://schemas.openxmlformats.org/officeDocument/2006/relationships/chart" Target="../charts/chart27.xml"/><Relationship Id="rId11" Type="http://schemas.openxmlformats.org/officeDocument/2006/relationships/chart" Target="../charts/chart26.xml"/><Relationship Id="rId10" Type="http://schemas.openxmlformats.org/officeDocument/2006/relationships/chart" Target="../charts/chart25.xml"/><Relationship Id="rId1" Type="http://schemas.openxmlformats.org/officeDocument/2006/relationships/chart" Target="../charts/chart16.xml"/></Relationships>
</file>

<file path=xl/drawings/_rels/drawing4.xml.rels><?xml version="1.0" encoding="UTF-8" standalone="yes"?>
<Relationships xmlns="http://schemas.openxmlformats.org/package/2006/relationships"><Relationship Id="rId9" Type="http://schemas.openxmlformats.org/officeDocument/2006/relationships/chart" Target="../charts/chart37.xml"/><Relationship Id="rId8" Type="http://schemas.openxmlformats.org/officeDocument/2006/relationships/chart" Target="../charts/chart36.xml"/><Relationship Id="rId7" Type="http://schemas.openxmlformats.org/officeDocument/2006/relationships/chart" Target="../charts/chart35.xml"/><Relationship Id="rId6" Type="http://schemas.openxmlformats.org/officeDocument/2006/relationships/chart" Target="../charts/chart34.xml"/><Relationship Id="rId5" Type="http://schemas.openxmlformats.org/officeDocument/2006/relationships/chart" Target="../charts/chart33.xml"/><Relationship Id="rId4" Type="http://schemas.openxmlformats.org/officeDocument/2006/relationships/chart" Target="../charts/chart32.xml"/><Relationship Id="rId3" Type="http://schemas.openxmlformats.org/officeDocument/2006/relationships/chart" Target="../charts/chart31.xml"/><Relationship Id="rId2" Type="http://schemas.openxmlformats.org/officeDocument/2006/relationships/chart" Target="../charts/chart30.xml"/><Relationship Id="rId11" Type="http://schemas.openxmlformats.org/officeDocument/2006/relationships/chart" Target="../charts/chart39.xml"/><Relationship Id="rId10" Type="http://schemas.openxmlformats.org/officeDocument/2006/relationships/chart" Target="../charts/chart38.xml"/><Relationship Id="rId1" Type="http://schemas.openxmlformats.org/officeDocument/2006/relationships/chart" Target="../charts/chart29.xml"/></Relationships>
</file>

<file path=xl/drawings/_rels/drawing5.xml.rels><?xml version="1.0" encoding="UTF-8" standalone="yes"?>
<Relationships xmlns="http://schemas.openxmlformats.org/package/2006/relationships"><Relationship Id="rId9" Type="http://schemas.openxmlformats.org/officeDocument/2006/relationships/chart" Target="../charts/chart48.xml"/><Relationship Id="rId8" Type="http://schemas.openxmlformats.org/officeDocument/2006/relationships/chart" Target="../charts/chart47.xml"/><Relationship Id="rId7" Type="http://schemas.openxmlformats.org/officeDocument/2006/relationships/chart" Target="../charts/chart46.xml"/><Relationship Id="rId6" Type="http://schemas.openxmlformats.org/officeDocument/2006/relationships/chart" Target="../charts/chart45.xml"/><Relationship Id="rId5" Type="http://schemas.openxmlformats.org/officeDocument/2006/relationships/chart" Target="../charts/chart44.xml"/><Relationship Id="rId4" Type="http://schemas.openxmlformats.org/officeDocument/2006/relationships/chart" Target="../charts/chart43.xml"/><Relationship Id="rId3" Type="http://schemas.openxmlformats.org/officeDocument/2006/relationships/chart" Target="../charts/chart42.xml"/><Relationship Id="rId2" Type="http://schemas.openxmlformats.org/officeDocument/2006/relationships/chart" Target="../charts/chart41.xml"/><Relationship Id="rId1" Type="http://schemas.openxmlformats.org/officeDocument/2006/relationships/chart" Target="../charts/chart40.xml"/></Relationships>
</file>

<file path=xl/drawings/_rels/drawing6.xml.rels><?xml version="1.0" encoding="UTF-8" standalone="yes"?>
<Relationships xmlns="http://schemas.openxmlformats.org/package/2006/relationships"><Relationship Id="rId7" Type="http://schemas.openxmlformats.org/officeDocument/2006/relationships/chart" Target="../charts/chart55.xml"/><Relationship Id="rId6" Type="http://schemas.openxmlformats.org/officeDocument/2006/relationships/chart" Target="../charts/chart54.xml"/><Relationship Id="rId5" Type="http://schemas.openxmlformats.org/officeDocument/2006/relationships/chart" Target="../charts/chart53.xml"/><Relationship Id="rId4" Type="http://schemas.openxmlformats.org/officeDocument/2006/relationships/chart" Target="../charts/chart52.xml"/><Relationship Id="rId3" Type="http://schemas.openxmlformats.org/officeDocument/2006/relationships/chart" Target="../charts/chart51.xml"/><Relationship Id="rId2" Type="http://schemas.openxmlformats.org/officeDocument/2006/relationships/chart" Target="../charts/chart50.xml"/><Relationship Id="rId1" Type="http://schemas.openxmlformats.org/officeDocument/2006/relationships/chart" Target="../charts/chart49.xml"/></Relationships>
</file>

<file path=xl/drawings/_rels/drawing7.xml.rels><?xml version="1.0" encoding="UTF-8" standalone="yes"?>
<Relationships xmlns="http://schemas.openxmlformats.org/package/2006/relationships"><Relationship Id="rId5" Type="http://schemas.openxmlformats.org/officeDocument/2006/relationships/chart" Target="../charts/chart60.xml"/><Relationship Id="rId4" Type="http://schemas.openxmlformats.org/officeDocument/2006/relationships/chart" Target="../charts/chart59.xml"/><Relationship Id="rId3" Type="http://schemas.openxmlformats.org/officeDocument/2006/relationships/chart" Target="../charts/chart58.xml"/><Relationship Id="rId2" Type="http://schemas.openxmlformats.org/officeDocument/2006/relationships/chart" Target="../charts/chart57.xml"/><Relationship Id="rId1" Type="http://schemas.openxmlformats.org/officeDocument/2006/relationships/chart" Target="../charts/chart56.xml"/></Relationships>
</file>

<file path=xl/drawings/_rels/drawing8.xml.rels><?xml version="1.0" encoding="UTF-8" standalone="yes"?>
<Relationships xmlns="http://schemas.openxmlformats.org/package/2006/relationships"><Relationship Id="rId3" Type="http://schemas.openxmlformats.org/officeDocument/2006/relationships/chart" Target="../charts/chart63.xml"/><Relationship Id="rId2" Type="http://schemas.openxmlformats.org/officeDocument/2006/relationships/chart" Target="../charts/chart62.xml"/><Relationship Id="rId1" Type="http://schemas.openxmlformats.org/officeDocument/2006/relationships/chart" Target="../charts/chart61.xml"/></Relationships>
</file>

<file path=xl/drawings/_rels/drawing9.xml.rels><?xml version="1.0" encoding="UTF-8" standalone="yes"?>
<Relationships xmlns="http://schemas.openxmlformats.org/package/2006/relationships"><Relationship Id="rId3" Type="http://schemas.openxmlformats.org/officeDocument/2006/relationships/chart" Target="../charts/chart66.xml"/><Relationship Id="rId2" Type="http://schemas.openxmlformats.org/officeDocument/2006/relationships/chart" Target="../charts/chart65.xml"/><Relationship Id="rId1" Type="http://schemas.openxmlformats.org/officeDocument/2006/relationships/chart" Target="../charts/chart64.xml"/></Relationships>
</file>

<file path=xl/drawings/_rels/drawing10.xml.rels><?xml version="1.0" encoding="UTF-8" standalone="yes"?>
<Relationships xmlns="http://schemas.openxmlformats.org/package/2006/relationships"><Relationship Id="rId3" Type="http://schemas.openxmlformats.org/officeDocument/2006/relationships/chart" Target="../charts/chart69.xml"/><Relationship Id="rId2" Type="http://schemas.openxmlformats.org/officeDocument/2006/relationships/chart" Target="../charts/chart68.xml"/><Relationship Id="rId1" Type="http://schemas.openxmlformats.org/officeDocument/2006/relationships/chart" Target="../charts/chart67.xml"/></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635</xdr:colOff>
      <xdr:row>8</xdr:row>
      <xdr:rowOff>53340</xdr:rowOff>
    </xdr:from>
    <xdr:to>
      <xdr:col>3</xdr:col>
      <xdr:colOff>398477</xdr:colOff>
      <xdr:row>36</xdr:row>
      <xdr:rowOff>26670</xdr:rowOff>
    </xdr:to>
    <xdr:pic>
      <xdr:nvPicPr>
        <xdr:cNvPr id="3" name="Изображение 2"/>
        <xdr:cNvPicPr>
          <a:picLocks noChangeAspect="1"/>
        </xdr:cNvPicPr>
      </xdr:nvPicPr>
      <xdr:blipFill>
        <a:blip r:embed="rId1"/>
        <a:stretch>
          <a:fillRect/>
        </a:stretch>
      </xdr:blipFill>
      <xdr:spPr>
        <a:xfrm>
          <a:off x="635" y="1516380"/>
          <a:ext cx="5373370" cy="5093970"/>
        </a:xfrm>
        <a:prstGeom prst="rect">
          <a:avLst/>
        </a:prstGeom>
        <a:noFill/>
        <a:ln w="9525">
          <a:noFill/>
        </a:ln>
      </xdr:spPr>
    </xdr:pic>
    <xdr:clientData/>
  </xdr:twoCellAnchor>
  <xdr:twoCellAnchor editAs="oneCell">
    <xdr:from>
      <xdr:col>0</xdr:col>
      <xdr:colOff>62865</xdr:colOff>
      <xdr:row>4</xdr:row>
      <xdr:rowOff>77470</xdr:rowOff>
    </xdr:from>
    <xdr:to>
      <xdr:col>3</xdr:col>
      <xdr:colOff>528955</xdr:colOff>
      <xdr:row>8</xdr:row>
      <xdr:rowOff>144780</xdr:rowOff>
    </xdr:to>
    <xdr:pic>
      <xdr:nvPicPr>
        <xdr:cNvPr id="4" name="Изображение 3"/>
        <xdr:cNvPicPr>
          <a:picLocks noChangeAspect="1"/>
        </xdr:cNvPicPr>
      </xdr:nvPicPr>
      <xdr:blipFill>
        <a:blip r:embed="rId2"/>
        <a:stretch>
          <a:fillRect/>
        </a:stretch>
      </xdr:blipFill>
      <xdr:spPr>
        <a:xfrm>
          <a:off x="62865" y="808990"/>
          <a:ext cx="5441950" cy="798830"/>
        </a:xfrm>
        <a:prstGeom prst="rect">
          <a:avLst/>
        </a:prstGeom>
        <a:noFill/>
        <a:ln w="9525">
          <a:noFill/>
        </a:ln>
      </xdr:spPr>
    </xdr:pic>
    <xdr:clientData/>
  </xdr:twoCellAnchor>
</xdr:wsDr>
</file>

<file path=xl/drawings/drawing2.xml><?xml version="1.0" encoding="utf-8"?>
<xdr:wsDr xmlns:xdr="http://schemas.openxmlformats.org/drawingml/2006/spreadsheetDrawing" xmlns:r="http://schemas.openxmlformats.org/officeDocument/2006/relationships" xmlns:a="http://schemas.openxmlformats.org/drawingml/2006/main">
  <xdr:twoCellAnchor>
    <xdr:from>
      <xdr:col>9</xdr:col>
      <xdr:colOff>251460</xdr:colOff>
      <xdr:row>0</xdr:row>
      <xdr:rowOff>175260</xdr:rowOff>
    </xdr:from>
    <xdr:to>
      <xdr:col>15</xdr:col>
      <xdr:colOff>251460</xdr:colOff>
      <xdr:row>10</xdr:row>
      <xdr:rowOff>175260</xdr:rowOff>
    </xdr:to>
    <xdr:graphicFrame>
      <xdr:nvGraphicFramePr>
        <xdr:cNvPr id="2" name="Диаграмма 1"/>
        <xdr:cNvGraphicFramePr/>
      </xdr:nvGraphicFramePr>
      <xdr:xfrm>
        <a:off x="12618720" y="175260"/>
        <a:ext cx="3703320" cy="1857375"/>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251460</xdr:colOff>
      <xdr:row>2</xdr:row>
      <xdr:rowOff>175260</xdr:rowOff>
    </xdr:from>
    <xdr:to>
      <xdr:col>16</xdr:col>
      <xdr:colOff>251460</xdr:colOff>
      <xdr:row>12</xdr:row>
      <xdr:rowOff>175260</xdr:rowOff>
    </xdr:to>
    <xdr:graphicFrame>
      <xdr:nvGraphicFramePr>
        <xdr:cNvPr id="3" name="Диаграмма 2"/>
        <xdr:cNvGraphicFramePr/>
      </xdr:nvGraphicFramePr>
      <xdr:xfrm>
        <a:off x="13235940" y="550545"/>
        <a:ext cx="3703320" cy="184785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251460</xdr:colOff>
      <xdr:row>4</xdr:row>
      <xdr:rowOff>175260</xdr:rowOff>
    </xdr:from>
    <xdr:to>
      <xdr:col>17</xdr:col>
      <xdr:colOff>251460</xdr:colOff>
      <xdr:row>14</xdr:row>
      <xdr:rowOff>175260</xdr:rowOff>
    </xdr:to>
    <xdr:graphicFrame>
      <xdr:nvGraphicFramePr>
        <xdr:cNvPr id="4" name="Диаграмма 3"/>
        <xdr:cNvGraphicFramePr/>
      </xdr:nvGraphicFramePr>
      <xdr:xfrm>
        <a:off x="13853160" y="916305"/>
        <a:ext cx="3703320" cy="1857375"/>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12</xdr:col>
      <xdr:colOff>251460</xdr:colOff>
      <xdr:row>6</xdr:row>
      <xdr:rowOff>175260</xdr:rowOff>
    </xdr:from>
    <xdr:to>
      <xdr:col>18</xdr:col>
      <xdr:colOff>251460</xdr:colOff>
      <xdr:row>16</xdr:row>
      <xdr:rowOff>175260</xdr:rowOff>
    </xdr:to>
    <xdr:graphicFrame>
      <xdr:nvGraphicFramePr>
        <xdr:cNvPr id="5" name="Диаграмма 4"/>
        <xdr:cNvGraphicFramePr/>
      </xdr:nvGraphicFramePr>
      <xdr:xfrm>
        <a:off x="14470380" y="1282065"/>
        <a:ext cx="3703320" cy="186690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13</xdr:col>
      <xdr:colOff>251460</xdr:colOff>
      <xdr:row>8</xdr:row>
      <xdr:rowOff>175260</xdr:rowOff>
    </xdr:from>
    <xdr:to>
      <xdr:col>19</xdr:col>
      <xdr:colOff>251460</xdr:colOff>
      <xdr:row>18</xdr:row>
      <xdr:rowOff>175260</xdr:rowOff>
    </xdr:to>
    <xdr:graphicFrame>
      <xdr:nvGraphicFramePr>
        <xdr:cNvPr id="6" name="Диаграмма 5"/>
        <xdr:cNvGraphicFramePr/>
      </xdr:nvGraphicFramePr>
      <xdr:xfrm>
        <a:off x="15087600" y="1657350"/>
        <a:ext cx="3703320" cy="1857375"/>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14</xdr:col>
      <xdr:colOff>251460</xdr:colOff>
      <xdr:row>10</xdr:row>
      <xdr:rowOff>175260</xdr:rowOff>
    </xdr:from>
    <xdr:to>
      <xdr:col>20</xdr:col>
      <xdr:colOff>251460</xdr:colOff>
      <xdr:row>20</xdr:row>
      <xdr:rowOff>175260</xdr:rowOff>
    </xdr:to>
    <xdr:graphicFrame>
      <xdr:nvGraphicFramePr>
        <xdr:cNvPr id="7" name="Диаграмма 6"/>
        <xdr:cNvGraphicFramePr/>
      </xdr:nvGraphicFramePr>
      <xdr:xfrm>
        <a:off x="15704820" y="2032635"/>
        <a:ext cx="3703320" cy="184785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15</xdr:col>
      <xdr:colOff>251460</xdr:colOff>
      <xdr:row>12</xdr:row>
      <xdr:rowOff>175260</xdr:rowOff>
    </xdr:from>
    <xdr:to>
      <xdr:col>21</xdr:col>
      <xdr:colOff>251461</xdr:colOff>
      <xdr:row>22</xdr:row>
      <xdr:rowOff>175260</xdr:rowOff>
    </xdr:to>
    <xdr:graphicFrame>
      <xdr:nvGraphicFramePr>
        <xdr:cNvPr id="8" name="Диаграмма 7"/>
        <xdr:cNvGraphicFramePr/>
      </xdr:nvGraphicFramePr>
      <xdr:xfrm>
        <a:off x="16322040" y="2398395"/>
        <a:ext cx="3703320" cy="184785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16</xdr:col>
      <xdr:colOff>251460</xdr:colOff>
      <xdr:row>14</xdr:row>
      <xdr:rowOff>175260</xdr:rowOff>
    </xdr:from>
    <xdr:to>
      <xdr:col>22</xdr:col>
      <xdr:colOff>251461</xdr:colOff>
      <xdr:row>24</xdr:row>
      <xdr:rowOff>175260</xdr:rowOff>
    </xdr:to>
    <xdr:graphicFrame>
      <xdr:nvGraphicFramePr>
        <xdr:cNvPr id="9" name="Диаграмма 8"/>
        <xdr:cNvGraphicFramePr/>
      </xdr:nvGraphicFramePr>
      <xdr:xfrm>
        <a:off x="16939260" y="2773680"/>
        <a:ext cx="3703320" cy="184785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17</xdr:col>
      <xdr:colOff>251460</xdr:colOff>
      <xdr:row>16</xdr:row>
      <xdr:rowOff>175260</xdr:rowOff>
    </xdr:from>
    <xdr:to>
      <xdr:col>23</xdr:col>
      <xdr:colOff>251461</xdr:colOff>
      <xdr:row>26</xdr:row>
      <xdr:rowOff>175260</xdr:rowOff>
    </xdr:to>
    <xdr:graphicFrame>
      <xdr:nvGraphicFramePr>
        <xdr:cNvPr id="10" name="Диаграмма 9"/>
        <xdr:cNvGraphicFramePr/>
      </xdr:nvGraphicFramePr>
      <xdr:xfrm>
        <a:off x="17556480" y="3148965"/>
        <a:ext cx="3703320" cy="1838325"/>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18</xdr:col>
      <xdr:colOff>251460</xdr:colOff>
      <xdr:row>18</xdr:row>
      <xdr:rowOff>175260</xdr:rowOff>
    </xdr:from>
    <xdr:to>
      <xdr:col>24</xdr:col>
      <xdr:colOff>251461</xdr:colOff>
      <xdr:row>28</xdr:row>
      <xdr:rowOff>175260</xdr:rowOff>
    </xdr:to>
    <xdr:graphicFrame>
      <xdr:nvGraphicFramePr>
        <xdr:cNvPr id="11" name="Диаграмма 10"/>
        <xdr:cNvGraphicFramePr/>
      </xdr:nvGraphicFramePr>
      <xdr:xfrm>
        <a:off x="18173700" y="3514725"/>
        <a:ext cx="3703320" cy="1838325"/>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19</xdr:col>
      <xdr:colOff>251460</xdr:colOff>
      <xdr:row>20</xdr:row>
      <xdr:rowOff>175260</xdr:rowOff>
    </xdr:from>
    <xdr:to>
      <xdr:col>25</xdr:col>
      <xdr:colOff>251461</xdr:colOff>
      <xdr:row>30</xdr:row>
      <xdr:rowOff>175260</xdr:rowOff>
    </xdr:to>
    <xdr:graphicFrame>
      <xdr:nvGraphicFramePr>
        <xdr:cNvPr id="12" name="Диаграмма 11"/>
        <xdr:cNvGraphicFramePr/>
      </xdr:nvGraphicFramePr>
      <xdr:xfrm>
        <a:off x="18790920" y="3880485"/>
        <a:ext cx="3703320" cy="184785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20</xdr:col>
      <xdr:colOff>251460</xdr:colOff>
      <xdr:row>22</xdr:row>
      <xdr:rowOff>175260</xdr:rowOff>
    </xdr:from>
    <xdr:to>
      <xdr:col>26</xdr:col>
      <xdr:colOff>251461</xdr:colOff>
      <xdr:row>32</xdr:row>
      <xdr:rowOff>175260</xdr:rowOff>
    </xdr:to>
    <xdr:graphicFrame>
      <xdr:nvGraphicFramePr>
        <xdr:cNvPr id="13" name="Диаграмма 12"/>
        <xdr:cNvGraphicFramePr/>
      </xdr:nvGraphicFramePr>
      <xdr:xfrm>
        <a:off x="19408140" y="4246245"/>
        <a:ext cx="3703320" cy="184785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21</xdr:col>
      <xdr:colOff>251461</xdr:colOff>
      <xdr:row>24</xdr:row>
      <xdr:rowOff>175260</xdr:rowOff>
    </xdr:from>
    <xdr:to>
      <xdr:col>27</xdr:col>
      <xdr:colOff>251461</xdr:colOff>
      <xdr:row>34</xdr:row>
      <xdr:rowOff>175260</xdr:rowOff>
    </xdr:to>
    <xdr:graphicFrame>
      <xdr:nvGraphicFramePr>
        <xdr:cNvPr id="14" name="Диаграмма 13"/>
        <xdr:cNvGraphicFramePr/>
      </xdr:nvGraphicFramePr>
      <xdr:xfrm>
        <a:off x="20025360" y="4621530"/>
        <a:ext cx="3703320" cy="1838325"/>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22</xdr:col>
      <xdr:colOff>251461</xdr:colOff>
      <xdr:row>26</xdr:row>
      <xdr:rowOff>175260</xdr:rowOff>
    </xdr:from>
    <xdr:to>
      <xdr:col>28</xdr:col>
      <xdr:colOff>251461</xdr:colOff>
      <xdr:row>36</xdr:row>
      <xdr:rowOff>175260</xdr:rowOff>
    </xdr:to>
    <xdr:graphicFrame>
      <xdr:nvGraphicFramePr>
        <xdr:cNvPr id="15" name="Диаграмма 14"/>
        <xdr:cNvGraphicFramePr/>
      </xdr:nvGraphicFramePr>
      <xdr:xfrm>
        <a:off x="20642580" y="4987290"/>
        <a:ext cx="3703320" cy="1838325"/>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23</xdr:col>
      <xdr:colOff>251461</xdr:colOff>
      <xdr:row>28</xdr:row>
      <xdr:rowOff>175260</xdr:rowOff>
    </xdr:from>
    <xdr:to>
      <xdr:col>29</xdr:col>
      <xdr:colOff>251461</xdr:colOff>
      <xdr:row>38</xdr:row>
      <xdr:rowOff>175260</xdr:rowOff>
    </xdr:to>
    <xdr:graphicFrame>
      <xdr:nvGraphicFramePr>
        <xdr:cNvPr id="16" name="Диаграмма 15"/>
        <xdr:cNvGraphicFramePr/>
      </xdr:nvGraphicFramePr>
      <xdr:xfrm>
        <a:off x="21259800" y="5353050"/>
        <a:ext cx="3703320" cy="1838325"/>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wsDr>
</file>

<file path=xl/drawings/drawing3.xml><?xml version="1.0" encoding="utf-8"?>
<xdr:wsDr xmlns:xdr="http://schemas.openxmlformats.org/drawingml/2006/spreadsheetDrawing" xmlns:r="http://schemas.openxmlformats.org/officeDocument/2006/relationships" xmlns:a="http://schemas.openxmlformats.org/drawingml/2006/main">
  <xdr:twoCellAnchor>
    <xdr:from>
      <xdr:col>9</xdr:col>
      <xdr:colOff>251460</xdr:colOff>
      <xdr:row>0</xdr:row>
      <xdr:rowOff>175260</xdr:rowOff>
    </xdr:from>
    <xdr:to>
      <xdr:col>15</xdr:col>
      <xdr:colOff>251460</xdr:colOff>
      <xdr:row>10</xdr:row>
      <xdr:rowOff>175260</xdr:rowOff>
    </xdr:to>
    <xdr:graphicFrame>
      <xdr:nvGraphicFramePr>
        <xdr:cNvPr id="2" name="Диаграмма 1"/>
        <xdr:cNvGraphicFramePr/>
      </xdr:nvGraphicFramePr>
      <xdr:xfrm>
        <a:off x="12618720" y="175260"/>
        <a:ext cx="3703320" cy="1857375"/>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251460</xdr:colOff>
      <xdr:row>2</xdr:row>
      <xdr:rowOff>175260</xdr:rowOff>
    </xdr:from>
    <xdr:to>
      <xdr:col>16</xdr:col>
      <xdr:colOff>251460</xdr:colOff>
      <xdr:row>12</xdr:row>
      <xdr:rowOff>175260</xdr:rowOff>
    </xdr:to>
    <xdr:graphicFrame>
      <xdr:nvGraphicFramePr>
        <xdr:cNvPr id="3" name="Диаграмма 2"/>
        <xdr:cNvGraphicFramePr/>
      </xdr:nvGraphicFramePr>
      <xdr:xfrm>
        <a:off x="13235940" y="550545"/>
        <a:ext cx="3703320" cy="184785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251460</xdr:colOff>
      <xdr:row>4</xdr:row>
      <xdr:rowOff>175260</xdr:rowOff>
    </xdr:from>
    <xdr:to>
      <xdr:col>17</xdr:col>
      <xdr:colOff>251460</xdr:colOff>
      <xdr:row>14</xdr:row>
      <xdr:rowOff>175260</xdr:rowOff>
    </xdr:to>
    <xdr:graphicFrame>
      <xdr:nvGraphicFramePr>
        <xdr:cNvPr id="4" name="Диаграмма 3"/>
        <xdr:cNvGraphicFramePr/>
      </xdr:nvGraphicFramePr>
      <xdr:xfrm>
        <a:off x="13853160" y="916305"/>
        <a:ext cx="3703320" cy="1857375"/>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12</xdr:col>
      <xdr:colOff>251460</xdr:colOff>
      <xdr:row>6</xdr:row>
      <xdr:rowOff>175260</xdr:rowOff>
    </xdr:from>
    <xdr:to>
      <xdr:col>18</xdr:col>
      <xdr:colOff>251460</xdr:colOff>
      <xdr:row>16</xdr:row>
      <xdr:rowOff>175260</xdr:rowOff>
    </xdr:to>
    <xdr:graphicFrame>
      <xdr:nvGraphicFramePr>
        <xdr:cNvPr id="5" name="Диаграмма 4"/>
        <xdr:cNvGraphicFramePr/>
      </xdr:nvGraphicFramePr>
      <xdr:xfrm>
        <a:off x="14470380" y="1282065"/>
        <a:ext cx="3703320" cy="186690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13</xdr:col>
      <xdr:colOff>251460</xdr:colOff>
      <xdr:row>8</xdr:row>
      <xdr:rowOff>175260</xdr:rowOff>
    </xdr:from>
    <xdr:to>
      <xdr:col>19</xdr:col>
      <xdr:colOff>251460</xdr:colOff>
      <xdr:row>18</xdr:row>
      <xdr:rowOff>175260</xdr:rowOff>
    </xdr:to>
    <xdr:graphicFrame>
      <xdr:nvGraphicFramePr>
        <xdr:cNvPr id="6" name="Диаграмма 5"/>
        <xdr:cNvGraphicFramePr/>
      </xdr:nvGraphicFramePr>
      <xdr:xfrm>
        <a:off x="15087600" y="1657350"/>
        <a:ext cx="3703320" cy="1857375"/>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14</xdr:col>
      <xdr:colOff>251460</xdr:colOff>
      <xdr:row>10</xdr:row>
      <xdr:rowOff>175260</xdr:rowOff>
    </xdr:from>
    <xdr:to>
      <xdr:col>20</xdr:col>
      <xdr:colOff>251460</xdr:colOff>
      <xdr:row>20</xdr:row>
      <xdr:rowOff>175260</xdr:rowOff>
    </xdr:to>
    <xdr:graphicFrame>
      <xdr:nvGraphicFramePr>
        <xdr:cNvPr id="7" name="Диаграмма 6"/>
        <xdr:cNvGraphicFramePr/>
      </xdr:nvGraphicFramePr>
      <xdr:xfrm>
        <a:off x="15704820" y="2032635"/>
        <a:ext cx="3703320" cy="184785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15</xdr:col>
      <xdr:colOff>251460</xdr:colOff>
      <xdr:row>12</xdr:row>
      <xdr:rowOff>175260</xdr:rowOff>
    </xdr:from>
    <xdr:to>
      <xdr:col>21</xdr:col>
      <xdr:colOff>251461</xdr:colOff>
      <xdr:row>22</xdr:row>
      <xdr:rowOff>175260</xdr:rowOff>
    </xdr:to>
    <xdr:graphicFrame>
      <xdr:nvGraphicFramePr>
        <xdr:cNvPr id="8" name="Диаграмма 7"/>
        <xdr:cNvGraphicFramePr/>
      </xdr:nvGraphicFramePr>
      <xdr:xfrm>
        <a:off x="16322040" y="2398395"/>
        <a:ext cx="3703320" cy="184785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16</xdr:col>
      <xdr:colOff>251460</xdr:colOff>
      <xdr:row>14</xdr:row>
      <xdr:rowOff>175260</xdr:rowOff>
    </xdr:from>
    <xdr:to>
      <xdr:col>22</xdr:col>
      <xdr:colOff>251461</xdr:colOff>
      <xdr:row>24</xdr:row>
      <xdr:rowOff>175260</xdr:rowOff>
    </xdr:to>
    <xdr:graphicFrame>
      <xdr:nvGraphicFramePr>
        <xdr:cNvPr id="9" name="Диаграмма 8"/>
        <xdr:cNvGraphicFramePr/>
      </xdr:nvGraphicFramePr>
      <xdr:xfrm>
        <a:off x="16939260" y="2773680"/>
        <a:ext cx="3703320" cy="184785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17</xdr:col>
      <xdr:colOff>251460</xdr:colOff>
      <xdr:row>16</xdr:row>
      <xdr:rowOff>175260</xdr:rowOff>
    </xdr:from>
    <xdr:to>
      <xdr:col>23</xdr:col>
      <xdr:colOff>251461</xdr:colOff>
      <xdr:row>26</xdr:row>
      <xdr:rowOff>175260</xdr:rowOff>
    </xdr:to>
    <xdr:graphicFrame>
      <xdr:nvGraphicFramePr>
        <xdr:cNvPr id="10" name="Диаграмма 9"/>
        <xdr:cNvGraphicFramePr/>
      </xdr:nvGraphicFramePr>
      <xdr:xfrm>
        <a:off x="17556480" y="3148965"/>
        <a:ext cx="3703320" cy="1838325"/>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18</xdr:col>
      <xdr:colOff>251460</xdr:colOff>
      <xdr:row>18</xdr:row>
      <xdr:rowOff>175260</xdr:rowOff>
    </xdr:from>
    <xdr:to>
      <xdr:col>24</xdr:col>
      <xdr:colOff>251461</xdr:colOff>
      <xdr:row>28</xdr:row>
      <xdr:rowOff>175260</xdr:rowOff>
    </xdr:to>
    <xdr:graphicFrame>
      <xdr:nvGraphicFramePr>
        <xdr:cNvPr id="11" name="Диаграмма 10"/>
        <xdr:cNvGraphicFramePr/>
      </xdr:nvGraphicFramePr>
      <xdr:xfrm>
        <a:off x="18173700" y="3514725"/>
        <a:ext cx="3703320" cy="184785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19</xdr:col>
      <xdr:colOff>251460</xdr:colOff>
      <xdr:row>20</xdr:row>
      <xdr:rowOff>175260</xdr:rowOff>
    </xdr:from>
    <xdr:to>
      <xdr:col>25</xdr:col>
      <xdr:colOff>251461</xdr:colOff>
      <xdr:row>30</xdr:row>
      <xdr:rowOff>175260</xdr:rowOff>
    </xdr:to>
    <xdr:graphicFrame>
      <xdr:nvGraphicFramePr>
        <xdr:cNvPr id="12" name="Диаграмма 11"/>
        <xdr:cNvGraphicFramePr/>
      </xdr:nvGraphicFramePr>
      <xdr:xfrm>
        <a:off x="18790920" y="3880485"/>
        <a:ext cx="3703320" cy="184785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20</xdr:col>
      <xdr:colOff>251460</xdr:colOff>
      <xdr:row>22</xdr:row>
      <xdr:rowOff>175260</xdr:rowOff>
    </xdr:from>
    <xdr:to>
      <xdr:col>26</xdr:col>
      <xdr:colOff>251461</xdr:colOff>
      <xdr:row>32</xdr:row>
      <xdr:rowOff>175260</xdr:rowOff>
    </xdr:to>
    <xdr:graphicFrame>
      <xdr:nvGraphicFramePr>
        <xdr:cNvPr id="13" name="Диаграмма 12"/>
        <xdr:cNvGraphicFramePr/>
      </xdr:nvGraphicFramePr>
      <xdr:xfrm>
        <a:off x="19408140" y="4246245"/>
        <a:ext cx="3703320" cy="184785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21</xdr:col>
      <xdr:colOff>251461</xdr:colOff>
      <xdr:row>24</xdr:row>
      <xdr:rowOff>175260</xdr:rowOff>
    </xdr:from>
    <xdr:to>
      <xdr:col>27</xdr:col>
      <xdr:colOff>251461</xdr:colOff>
      <xdr:row>34</xdr:row>
      <xdr:rowOff>175260</xdr:rowOff>
    </xdr:to>
    <xdr:graphicFrame>
      <xdr:nvGraphicFramePr>
        <xdr:cNvPr id="14" name="Диаграмма 13"/>
        <xdr:cNvGraphicFramePr/>
      </xdr:nvGraphicFramePr>
      <xdr:xfrm>
        <a:off x="20025360" y="4621530"/>
        <a:ext cx="3703320" cy="1838325"/>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wsDr>
</file>

<file path=xl/drawings/drawing4.xml><?xml version="1.0" encoding="utf-8"?>
<xdr:wsDr xmlns:xdr="http://schemas.openxmlformats.org/drawingml/2006/spreadsheetDrawing" xmlns:r="http://schemas.openxmlformats.org/officeDocument/2006/relationships" xmlns:a="http://schemas.openxmlformats.org/drawingml/2006/main">
  <xdr:twoCellAnchor>
    <xdr:from>
      <xdr:col>9</xdr:col>
      <xdr:colOff>251460</xdr:colOff>
      <xdr:row>0</xdr:row>
      <xdr:rowOff>175260</xdr:rowOff>
    </xdr:from>
    <xdr:to>
      <xdr:col>15</xdr:col>
      <xdr:colOff>251460</xdr:colOff>
      <xdr:row>10</xdr:row>
      <xdr:rowOff>175260</xdr:rowOff>
    </xdr:to>
    <xdr:graphicFrame>
      <xdr:nvGraphicFramePr>
        <xdr:cNvPr id="2" name="Диаграмма 1"/>
        <xdr:cNvGraphicFramePr/>
      </xdr:nvGraphicFramePr>
      <xdr:xfrm>
        <a:off x="12618720" y="175260"/>
        <a:ext cx="3703320" cy="1857375"/>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251460</xdr:colOff>
      <xdr:row>2</xdr:row>
      <xdr:rowOff>175260</xdr:rowOff>
    </xdr:from>
    <xdr:to>
      <xdr:col>16</xdr:col>
      <xdr:colOff>251460</xdr:colOff>
      <xdr:row>12</xdr:row>
      <xdr:rowOff>175260</xdr:rowOff>
    </xdr:to>
    <xdr:graphicFrame>
      <xdr:nvGraphicFramePr>
        <xdr:cNvPr id="3" name="Диаграмма 2"/>
        <xdr:cNvGraphicFramePr/>
      </xdr:nvGraphicFramePr>
      <xdr:xfrm>
        <a:off x="13235940" y="550545"/>
        <a:ext cx="3703320" cy="184785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251460</xdr:colOff>
      <xdr:row>4</xdr:row>
      <xdr:rowOff>175260</xdr:rowOff>
    </xdr:from>
    <xdr:to>
      <xdr:col>17</xdr:col>
      <xdr:colOff>251460</xdr:colOff>
      <xdr:row>14</xdr:row>
      <xdr:rowOff>175260</xdr:rowOff>
    </xdr:to>
    <xdr:graphicFrame>
      <xdr:nvGraphicFramePr>
        <xdr:cNvPr id="4" name="Диаграмма 3"/>
        <xdr:cNvGraphicFramePr/>
      </xdr:nvGraphicFramePr>
      <xdr:xfrm>
        <a:off x="13853160" y="916305"/>
        <a:ext cx="3703320" cy="1857375"/>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12</xdr:col>
      <xdr:colOff>251460</xdr:colOff>
      <xdr:row>6</xdr:row>
      <xdr:rowOff>175260</xdr:rowOff>
    </xdr:from>
    <xdr:to>
      <xdr:col>18</xdr:col>
      <xdr:colOff>251460</xdr:colOff>
      <xdr:row>16</xdr:row>
      <xdr:rowOff>175260</xdr:rowOff>
    </xdr:to>
    <xdr:graphicFrame>
      <xdr:nvGraphicFramePr>
        <xdr:cNvPr id="5" name="Диаграмма 4"/>
        <xdr:cNvGraphicFramePr/>
      </xdr:nvGraphicFramePr>
      <xdr:xfrm>
        <a:off x="14470380" y="1282065"/>
        <a:ext cx="3703320" cy="186690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13</xdr:col>
      <xdr:colOff>251460</xdr:colOff>
      <xdr:row>8</xdr:row>
      <xdr:rowOff>175260</xdr:rowOff>
    </xdr:from>
    <xdr:to>
      <xdr:col>19</xdr:col>
      <xdr:colOff>251460</xdr:colOff>
      <xdr:row>18</xdr:row>
      <xdr:rowOff>175260</xdr:rowOff>
    </xdr:to>
    <xdr:graphicFrame>
      <xdr:nvGraphicFramePr>
        <xdr:cNvPr id="6" name="Диаграмма 5"/>
        <xdr:cNvGraphicFramePr/>
      </xdr:nvGraphicFramePr>
      <xdr:xfrm>
        <a:off x="15087600" y="1657350"/>
        <a:ext cx="3703320" cy="1857375"/>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14</xdr:col>
      <xdr:colOff>251460</xdr:colOff>
      <xdr:row>10</xdr:row>
      <xdr:rowOff>175260</xdr:rowOff>
    </xdr:from>
    <xdr:to>
      <xdr:col>20</xdr:col>
      <xdr:colOff>251460</xdr:colOff>
      <xdr:row>20</xdr:row>
      <xdr:rowOff>175260</xdr:rowOff>
    </xdr:to>
    <xdr:graphicFrame>
      <xdr:nvGraphicFramePr>
        <xdr:cNvPr id="7" name="Диаграмма 6"/>
        <xdr:cNvGraphicFramePr/>
      </xdr:nvGraphicFramePr>
      <xdr:xfrm>
        <a:off x="15704820" y="2032635"/>
        <a:ext cx="3703320" cy="184785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15</xdr:col>
      <xdr:colOff>251460</xdr:colOff>
      <xdr:row>12</xdr:row>
      <xdr:rowOff>175260</xdr:rowOff>
    </xdr:from>
    <xdr:to>
      <xdr:col>21</xdr:col>
      <xdr:colOff>251461</xdr:colOff>
      <xdr:row>22</xdr:row>
      <xdr:rowOff>175260</xdr:rowOff>
    </xdr:to>
    <xdr:graphicFrame>
      <xdr:nvGraphicFramePr>
        <xdr:cNvPr id="8" name="Диаграмма 7"/>
        <xdr:cNvGraphicFramePr/>
      </xdr:nvGraphicFramePr>
      <xdr:xfrm>
        <a:off x="16322040" y="2398395"/>
        <a:ext cx="3703320" cy="1857375"/>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16</xdr:col>
      <xdr:colOff>251460</xdr:colOff>
      <xdr:row>14</xdr:row>
      <xdr:rowOff>175260</xdr:rowOff>
    </xdr:from>
    <xdr:to>
      <xdr:col>22</xdr:col>
      <xdr:colOff>251461</xdr:colOff>
      <xdr:row>24</xdr:row>
      <xdr:rowOff>175260</xdr:rowOff>
    </xdr:to>
    <xdr:graphicFrame>
      <xdr:nvGraphicFramePr>
        <xdr:cNvPr id="9" name="Диаграмма 8"/>
        <xdr:cNvGraphicFramePr/>
      </xdr:nvGraphicFramePr>
      <xdr:xfrm>
        <a:off x="16939260" y="2773680"/>
        <a:ext cx="3703320" cy="184785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17</xdr:col>
      <xdr:colOff>251460</xdr:colOff>
      <xdr:row>16</xdr:row>
      <xdr:rowOff>175260</xdr:rowOff>
    </xdr:from>
    <xdr:to>
      <xdr:col>23</xdr:col>
      <xdr:colOff>251461</xdr:colOff>
      <xdr:row>26</xdr:row>
      <xdr:rowOff>175260</xdr:rowOff>
    </xdr:to>
    <xdr:graphicFrame>
      <xdr:nvGraphicFramePr>
        <xdr:cNvPr id="10" name="Диаграмма 9"/>
        <xdr:cNvGraphicFramePr/>
      </xdr:nvGraphicFramePr>
      <xdr:xfrm>
        <a:off x="17556480" y="3148965"/>
        <a:ext cx="3703320" cy="1838325"/>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18</xdr:col>
      <xdr:colOff>251460</xdr:colOff>
      <xdr:row>18</xdr:row>
      <xdr:rowOff>175260</xdr:rowOff>
    </xdr:from>
    <xdr:to>
      <xdr:col>24</xdr:col>
      <xdr:colOff>251461</xdr:colOff>
      <xdr:row>28</xdr:row>
      <xdr:rowOff>175260</xdr:rowOff>
    </xdr:to>
    <xdr:graphicFrame>
      <xdr:nvGraphicFramePr>
        <xdr:cNvPr id="11" name="Диаграмма 10"/>
        <xdr:cNvGraphicFramePr/>
      </xdr:nvGraphicFramePr>
      <xdr:xfrm>
        <a:off x="18173700" y="3514725"/>
        <a:ext cx="3703320" cy="184785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19</xdr:col>
      <xdr:colOff>251460</xdr:colOff>
      <xdr:row>20</xdr:row>
      <xdr:rowOff>175260</xdr:rowOff>
    </xdr:from>
    <xdr:to>
      <xdr:col>25</xdr:col>
      <xdr:colOff>251461</xdr:colOff>
      <xdr:row>30</xdr:row>
      <xdr:rowOff>175260</xdr:rowOff>
    </xdr:to>
    <xdr:graphicFrame>
      <xdr:nvGraphicFramePr>
        <xdr:cNvPr id="12" name="Диаграмма 11"/>
        <xdr:cNvGraphicFramePr/>
      </xdr:nvGraphicFramePr>
      <xdr:xfrm>
        <a:off x="18790920" y="3880485"/>
        <a:ext cx="3703320" cy="184785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wsDr>
</file>

<file path=xl/drawings/drawing5.xml><?xml version="1.0" encoding="utf-8"?>
<xdr:wsDr xmlns:xdr="http://schemas.openxmlformats.org/drawingml/2006/spreadsheetDrawing" xmlns:r="http://schemas.openxmlformats.org/officeDocument/2006/relationships" xmlns:a="http://schemas.openxmlformats.org/drawingml/2006/main">
  <xdr:twoCellAnchor>
    <xdr:from>
      <xdr:col>9</xdr:col>
      <xdr:colOff>251460</xdr:colOff>
      <xdr:row>0</xdr:row>
      <xdr:rowOff>175260</xdr:rowOff>
    </xdr:from>
    <xdr:to>
      <xdr:col>15</xdr:col>
      <xdr:colOff>251460</xdr:colOff>
      <xdr:row>10</xdr:row>
      <xdr:rowOff>175260</xdr:rowOff>
    </xdr:to>
    <xdr:graphicFrame>
      <xdr:nvGraphicFramePr>
        <xdr:cNvPr id="2" name="Диаграмма 1"/>
        <xdr:cNvGraphicFramePr/>
      </xdr:nvGraphicFramePr>
      <xdr:xfrm>
        <a:off x="12618720" y="175260"/>
        <a:ext cx="3703320" cy="1857375"/>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251460</xdr:colOff>
      <xdr:row>2</xdr:row>
      <xdr:rowOff>175260</xdr:rowOff>
    </xdr:from>
    <xdr:to>
      <xdr:col>16</xdr:col>
      <xdr:colOff>251460</xdr:colOff>
      <xdr:row>12</xdr:row>
      <xdr:rowOff>175260</xdr:rowOff>
    </xdr:to>
    <xdr:graphicFrame>
      <xdr:nvGraphicFramePr>
        <xdr:cNvPr id="3" name="Диаграмма 2"/>
        <xdr:cNvGraphicFramePr/>
      </xdr:nvGraphicFramePr>
      <xdr:xfrm>
        <a:off x="13235940" y="550545"/>
        <a:ext cx="3703320" cy="184785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251460</xdr:colOff>
      <xdr:row>4</xdr:row>
      <xdr:rowOff>175260</xdr:rowOff>
    </xdr:from>
    <xdr:to>
      <xdr:col>17</xdr:col>
      <xdr:colOff>251460</xdr:colOff>
      <xdr:row>14</xdr:row>
      <xdr:rowOff>175260</xdr:rowOff>
    </xdr:to>
    <xdr:graphicFrame>
      <xdr:nvGraphicFramePr>
        <xdr:cNvPr id="4" name="Диаграмма 3"/>
        <xdr:cNvGraphicFramePr/>
      </xdr:nvGraphicFramePr>
      <xdr:xfrm>
        <a:off x="13853160" y="916305"/>
        <a:ext cx="3703320" cy="1857375"/>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12</xdr:col>
      <xdr:colOff>251460</xdr:colOff>
      <xdr:row>6</xdr:row>
      <xdr:rowOff>175260</xdr:rowOff>
    </xdr:from>
    <xdr:to>
      <xdr:col>18</xdr:col>
      <xdr:colOff>251460</xdr:colOff>
      <xdr:row>16</xdr:row>
      <xdr:rowOff>175260</xdr:rowOff>
    </xdr:to>
    <xdr:graphicFrame>
      <xdr:nvGraphicFramePr>
        <xdr:cNvPr id="5" name="Диаграмма 4"/>
        <xdr:cNvGraphicFramePr/>
      </xdr:nvGraphicFramePr>
      <xdr:xfrm>
        <a:off x="14470380" y="1282065"/>
        <a:ext cx="3703320" cy="186690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13</xdr:col>
      <xdr:colOff>251460</xdr:colOff>
      <xdr:row>8</xdr:row>
      <xdr:rowOff>175260</xdr:rowOff>
    </xdr:from>
    <xdr:to>
      <xdr:col>19</xdr:col>
      <xdr:colOff>251460</xdr:colOff>
      <xdr:row>18</xdr:row>
      <xdr:rowOff>175260</xdr:rowOff>
    </xdr:to>
    <xdr:graphicFrame>
      <xdr:nvGraphicFramePr>
        <xdr:cNvPr id="6" name="Диаграмма 5"/>
        <xdr:cNvGraphicFramePr/>
      </xdr:nvGraphicFramePr>
      <xdr:xfrm>
        <a:off x="15087600" y="1657350"/>
        <a:ext cx="3703320" cy="1857375"/>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14</xdr:col>
      <xdr:colOff>251460</xdr:colOff>
      <xdr:row>10</xdr:row>
      <xdr:rowOff>175260</xdr:rowOff>
    </xdr:from>
    <xdr:to>
      <xdr:col>20</xdr:col>
      <xdr:colOff>251460</xdr:colOff>
      <xdr:row>20</xdr:row>
      <xdr:rowOff>175260</xdr:rowOff>
    </xdr:to>
    <xdr:graphicFrame>
      <xdr:nvGraphicFramePr>
        <xdr:cNvPr id="7" name="Диаграмма 6"/>
        <xdr:cNvGraphicFramePr/>
      </xdr:nvGraphicFramePr>
      <xdr:xfrm>
        <a:off x="15704820" y="2032635"/>
        <a:ext cx="3703320" cy="184785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15</xdr:col>
      <xdr:colOff>251460</xdr:colOff>
      <xdr:row>12</xdr:row>
      <xdr:rowOff>175260</xdr:rowOff>
    </xdr:from>
    <xdr:to>
      <xdr:col>21</xdr:col>
      <xdr:colOff>251461</xdr:colOff>
      <xdr:row>22</xdr:row>
      <xdr:rowOff>175260</xdr:rowOff>
    </xdr:to>
    <xdr:graphicFrame>
      <xdr:nvGraphicFramePr>
        <xdr:cNvPr id="8" name="Диаграмма 7"/>
        <xdr:cNvGraphicFramePr/>
      </xdr:nvGraphicFramePr>
      <xdr:xfrm>
        <a:off x="16322040" y="2398395"/>
        <a:ext cx="3703320" cy="1857375"/>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16</xdr:col>
      <xdr:colOff>251460</xdr:colOff>
      <xdr:row>14</xdr:row>
      <xdr:rowOff>175260</xdr:rowOff>
    </xdr:from>
    <xdr:to>
      <xdr:col>22</xdr:col>
      <xdr:colOff>251461</xdr:colOff>
      <xdr:row>24</xdr:row>
      <xdr:rowOff>175260</xdr:rowOff>
    </xdr:to>
    <xdr:graphicFrame>
      <xdr:nvGraphicFramePr>
        <xdr:cNvPr id="9" name="Диаграмма 8"/>
        <xdr:cNvGraphicFramePr/>
      </xdr:nvGraphicFramePr>
      <xdr:xfrm>
        <a:off x="16939260" y="2773680"/>
        <a:ext cx="3703320" cy="184785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17</xdr:col>
      <xdr:colOff>251460</xdr:colOff>
      <xdr:row>16</xdr:row>
      <xdr:rowOff>175260</xdr:rowOff>
    </xdr:from>
    <xdr:to>
      <xdr:col>23</xdr:col>
      <xdr:colOff>251461</xdr:colOff>
      <xdr:row>26</xdr:row>
      <xdr:rowOff>175260</xdr:rowOff>
    </xdr:to>
    <xdr:graphicFrame>
      <xdr:nvGraphicFramePr>
        <xdr:cNvPr id="10" name="Диаграмма 9"/>
        <xdr:cNvGraphicFramePr/>
      </xdr:nvGraphicFramePr>
      <xdr:xfrm>
        <a:off x="17556480" y="3148965"/>
        <a:ext cx="3703320" cy="184785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wsDr>
</file>

<file path=xl/drawings/drawing6.xml><?xml version="1.0" encoding="utf-8"?>
<xdr:wsDr xmlns:xdr="http://schemas.openxmlformats.org/drawingml/2006/spreadsheetDrawing" xmlns:r="http://schemas.openxmlformats.org/officeDocument/2006/relationships" xmlns:a="http://schemas.openxmlformats.org/drawingml/2006/main">
  <xdr:twoCellAnchor>
    <xdr:from>
      <xdr:col>9</xdr:col>
      <xdr:colOff>251460</xdr:colOff>
      <xdr:row>0</xdr:row>
      <xdr:rowOff>175260</xdr:rowOff>
    </xdr:from>
    <xdr:to>
      <xdr:col>15</xdr:col>
      <xdr:colOff>251460</xdr:colOff>
      <xdr:row>10</xdr:row>
      <xdr:rowOff>175260</xdr:rowOff>
    </xdr:to>
    <xdr:graphicFrame>
      <xdr:nvGraphicFramePr>
        <xdr:cNvPr id="2" name="Диаграмма 1"/>
        <xdr:cNvGraphicFramePr/>
      </xdr:nvGraphicFramePr>
      <xdr:xfrm>
        <a:off x="12618720" y="175260"/>
        <a:ext cx="3703320" cy="1857375"/>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251460</xdr:colOff>
      <xdr:row>2</xdr:row>
      <xdr:rowOff>175260</xdr:rowOff>
    </xdr:from>
    <xdr:to>
      <xdr:col>16</xdr:col>
      <xdr:colOff>251460</xdr:colOff>
      <xdr:row>12</xdr:row>
      <xdr:rowOff>175260</xdr:rowOff>
    </xdr:to>
    <xdr:graphicFrame>
      <xdr:nvGraphicFramePr>
        <xdr:cNvPr id="3" name="Диаграмма 2"/>
        <xdr:cNvGraphicFramePr/>
      </xdr:nvGraphicFramePr>
      <xdr:xfrm>
        <a:off x="13235940" y="550545"/>
        <a:ext cx="3703320" cy="184785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251460</xdr:colOff>
      <xdr:row>4</xdr:row>
      <xdr:rowOff>175260</xdr:rowOff>
    </xdr:from>
    <xdr:to>
      <xdr:col>17</xdr:col>
      <xdr:colOff>251460</xdr:colOff>
      <xdr:row>14</xdr:row>
      <xdr:rowOff>175260</xdr:rowOff>
    </xdr:to>
    <xdr:graphicFrame>
      <xdr:nvGraphicFramePr>
        <xdr:cNvPr id="4" name="Диаграмма 3"/>
        <xdr:cNvGraphicFramePr/>
      </xdr:nvGraphicFramePr>
      <xdr:xfrm>
        <a:off x="13853160" y="916305"/>
        <a:ext cx="3703320" cy="1857375"/>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12</xdr:col>
      <xdr:colOff>251460</xdr:colOff>
      <xdr:row>6</xdr:row>
      <xdr:rowOff>175260</xdr:rowOff>
    </xdr:from>
    <xdr:to>
      <xdr:col>18</xdr:col>
      <xdr:colOff>251460</xdr:colOff>
      <xdr:row>16</xdr:row>
      <xdr:rowOff>175260</xdr:rowOff>
    </xdr:to>
    <xdr:graphicFrame>
      <xdr:nvGraphicFramePr>
        <xdr:cNvPr id="5" name="Диаграмма 4"/>
        <xdr:cNvGraphicFramePr/>
      </xdr:nvGraphicFramePr>
      <xdr:xfrm>
        <a:off x="14470380" y="1282065"/>
        <a:ext cx="3703320" cy="186690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13</xdr:col>
      <xdr:colOff>251460</xdr:colOff>
      <xdr:row>8</xdr:row>
      <xdr:rowOff>175260</xdr:rowOff>
    </xdr:from>
    <xdr:to>
      <xdr:col>19</xdr:col>
      <xdr:colOff>251460</xdr:colOff>
      <xdr:row>18</xdr:row>
      <xdr:rowOff>175260</xdr:rowOff>
    </xdr:to>
    <xdr:graphicFrame>
      <xdr:nvGraphicFramePr>
        <xdr:cNvPr id="6" name="Диаграмма 5"/>
        <xdr:cNvGraphicFramePr/>
      </xdr:nvGraphicFramePr>
      <xdr:xfrm>
        <a:off x="15087600" y="1657350"/>
        <a:ext cx="3703320" cy="1857375"/>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14</xdr:col>
      <xdr:colOff>251460</xdr:colOff>
      <xdr:row>10</xdr:row>
      <xdr:rowOff>175260</xdr:rowOff>
    </xdr:from>
    <xdr:to>
      <xdr:col>20</xdr:col>
      <xdr:colOff>251460</xdr:colOff>
      <xdr:row>20</xdr:row>
      <xdr:rowOff>175260</xdr:rowOff>
    </xdr:to>
    <xdr:graphicFrame>
      <xdr:nvGraphicFramePr>
        <xdr:cNvPr id="7" name="Диаграмма 6"/>
        <xdr:cNvGraphicFramePr/>
      </xdr:nvGraphicFramePr>
      <xdr:xfrm>
        <a:off x="15704820" y="2032635"/>
        <a:ext cx="3703320" cy="1857375"/>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15</xdr:col>
      <xdr:colOff>251460</xdr:colOff>
      <xdr:row>12</xdr:row>
      <xdr:rowOff>175260</xdr:rowOff>
    </xdr:from>
    <xdr:to>
      <xdr:col>21</xdr:col>
      <xdr:colOff>251461</xdr:colOff>
      <xdr:row>22</xdr:row>
      <xdr:rowOff>175260</xdr:rowOff>
    </xdr:to>
    <xdr:graphicFrame>
      <xdr:nvGraphicFramePr>
        <xdr:cNvPr id="8" name="Диаграмма 7"/>
        <xdr:cNvGraphicFramePr/>
      </xdr:nvGraphicFramePr>
      <xdr:xfrm>
        <a:off x="16322040" y="2398395"/>
        <a:ext cx="3703320" cy="1857375"/>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wsDr>
</file>

<file path=xl/drawings/drawing7.xml><?xml version="1.0" encoding="utf-8"?>
<xdr:wsDr xmlns:xdr="http://schemas.openxmlformats.org/drawingml/2006/spreadsheetDrawing" xmlns:r="http://schemas.openxmlformats.org/officeDocument/2006/relationships" xmlns:a="http://schemas.openxmlformats.org/drawingml/2006/main">
  <xdr:twoCellAnchor>
    <xdr:from>
      <xdr:col>9</xdr:col>
      <xdr:colOff>251460</xdr:colOff>
      <xdr:row>0</xdr:row>
      <xdr:rowOff>175260</xdr:rowOff>
    </xdr:from>
    <xdr:to>
      <xdr:col>15</xdr:col>
      <xdr:colOff>251460</xdr:colOff>
      <xdr:row>10</xdr:row>
      <xdr:rowOff>175260</xdr:rowOff>
    </xdr:to>
    <xdr:graphicFrame>
      <xdr:nvGraphicFramePr>
        <xdr:cNvPr id="2" name="Диаграмма 1"/>
        <xdr:cNvGraphicFramePr/>
      </xdr:nvGraphicFramePr>
      <xdr:xfrm>
        <a:off x="12618720" y="175260"/>
        <a:ext cx="3703320" cy="1857375"/>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251460</xdr:colOff>
      <xdr:row>2</xdr:row>
      <xdr:rowOff>175260</xdr:rowOff>
    </xdr:from>
    <xdr:to>
      <xdr:col>16</xdr:col>
      <xdr:colOff>251460</xdr:colOff>
      <xdr:row>12</xdr:row>
      <xdr:rowOff>175260</xdr:rowOff>
    </xdr:to>
    <xdr:graphicFrame>
      <xdr:nvGraphicFramePr>
        <xdr:cNvPr id="3" name="Диаграмма 2"/>
        <xdr:cNvGraphicFramePr/>
      </xdr:nvGraphicFramePr>
      <xdr:xfrm>
        <a:off x="13235940" y="550545"/>
        <a:ext cx="3703320" cy="184785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251460</xdr:colOff>
      <xdr:row>4</xdr:row>
      <xdr:rowOff>175260</xdr:rowOff>
    </xdr:from>
    <xdr:to>
      <xdr:col>17</xdr:col>
      <xdr:colOff>251460</xdr:colOff>
      <xdr:row>14</xdr:row>
      <xdr:rowOff>175260</xdr:rowOff>
    </xdr:to>
    <xdr:graphicFrame>
      <xdr:nvGraphicFramePr>
        <xdr:cNvPr id="4" name="Диаграмма 3"/>
        <xdr:cNvGraphicFramePr/>
      </xdr:nvGraphicFramePr>
      <xdr:xfrm>
        <a:off x="13853160" y="916305"/>
        <a:ext cx="3703320" cy="1857375"/>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12</xdr:col>
      <xdr:colOff>251460</xdr:colOff>
      <xdr:row>6</xdr:row>
      <xdr:rowOff>175260</xdr:rowOff>
    </xdr:from>
    <xdr:to>
      <xdr:col>18</xdr:col>
      <xdr:colOff>251460</xdr:colOff>
      <xdr:row>16</xdr:row>
      <xdr:rowOff>175260</xdr:rowOff>
    </xdr:to>
    <xdr:graphicFrame>
      <xdr:nvGraphicFramePr>
        <xdr:cNvPr id="5" name="Диаграмма 4"/>
        <xdr:cNvGraphicFramePr/>
      </xdr:nvGraphicFramePr>
      <xdr:xfrm>
        <a:off x="14470380" y="1282065"/>
        <a:ext cx="3703320" cy="186690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13</xdr:col>
      <xdr:colOff>251460</xdr:colOff>
      <xdr:row>8</xdr:row>
      <xdr:rowOff>175260</xdr:rowOff>
    </xdr:from>
    <xdr:to>
      <xdr:col>19</xdr:col>
      <xdr:colOff>251460</xdr:colOff>
      <xdr:row>18</xdr:row>
      <xdr:rowOff>175260</xdr:rowOff>
    </xdr:to>
    <xdr:graphicFrame>
      <xdr:nvGraphicFramePr>
        <xdr:cNvPr id="6" name="Диаграмма 5"/>
        <xdr:cNvGraphicFramePr/>
      </xdr:nvGraphicFramePr>
      <xdr:xfrm>
        <a:off x="15087600" y="1657350"/>
        <a:ext cx="3703320" cy="1857375"/>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8.xml><?xml version="1.0" encoding="utf-8"?>
<xdr:wsDr xmlns:xdr="http://schemas.openxmlformats.org/drawingml/2006/spreadsheetDrawing" xmlns:r="http://schemas.openxmlformats.org/officeDocument/2006/relationships" xmlns:a="http://schemas.openxmlformats.org/drawingml/2006/main">
  <xdr:twoCellAnchor>
    <xdr:from>
      <xdr:col>9</xdr:col>
      <xdr:colOff>251460</xdr:colOff>
      <xdr:row>0</xdr:row>
      <xdr:rowOff>175260</xdr:rowOff>
    </xdr:from>
    <xdr:to>
      <xdr:col>15</xdr:col>
      <xdr:colOff>251460</xdr:colOff>
      <xdr:row>10</xdr:row>
      <xdr:rowOff>175260</xdr:rowOff>
    </xdr:to>
    <xdr:graphicFrame>
      <xdr:nvGraphicFramePr>
        <xdr:cNvPr id="2" name="Диаграмма 1"/>
        <xdr:cNvGraphicFramePr/>
      </xdr:nvGraphicFramePr>
      <xdr:xfrm>
        <a:off x="11993880" y="175260"/>
        <a:ext cx="3703320" cy="1857375"/>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251460</xdr:colOff>
      <xdr:row>2</xdr:row>
      <xdr:rowOff>175260</xdr:rowOff>
    </xdr:from>
    <xdr:to>
      <xdr:col>16</xdr:col>
      <xdr:colOff>251460</xdr:colOff>
      <xdr:row>12</xdr:row>
      <xdr:rowOff>175260</xdr:rowOff>
    </xdr:to>
    <xdr:graphicFrame>
      <xdr:nvGraphicFramePr>
        <xdr:cNvPr id="3" name="Диаграмма 2"/>
        <xdr:cNvGraphicFramePr/>
      </xdr:nvGraphicFramePr>
      <xdr:xfrm>
        <a:off x="12611100" y="550545"/>
        <a:ext cx="3703320" cy="184785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251460</xdr:colOff>
      <xdr:row>4</xdr:row>
      <xdr:rowOff>175260</xdr:rowOff>
    </xdr:from>
    <xdr:to>
      <xdr:col>17</xdr:col>
      <xdr:colOff>251460</xdr:colOff>
      <xdr:row>14</xdr:row>
      <xdr:rowOff>175260</xdr:rowOff>
    </xdr:to>
    <xdr:graphicFrame>
      <xdr:nvGraphicFramePr>
        <xdr:cNvPr id="4" name="Диаграмма 3"/>
        <xdr:cNvGraphicFramePr/>
      </xdr:nvGraphicFramePr>
      <xdr:xfrm>
        <a:off x="13228320" y="916305"/>
        <a:ext cx="3703320" cy="1857375"/>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9.xml><?xml version="1.0" encoding="utf-8"?>
<xdr:wsDr xmlns:xdr="http://schemas.openxmlformats.org/drawingml/2006/spreadsheetDrawing" xmlns:r="http://schemas.openxmlformats.org/officeDocument/2006/relationships" xmlns:a="http://schemas.openxmlformats.org/drawingml/2006/main">
  <xdr:twoCellAnchor>
    <xdr:from>
      <xdr:col>3</xdr:col>
      <xdr:colOff>510988</xdr:colOff>
      <xdr:row>69</xdr:row>
      <xdr:rowOff>22412</xdr:rowOff>
    </xdr:from>
    <xdr:to>
      <xdr:col>9</xdr:col>
      <xdr:colOff>887505</xdr:colOff>
      <xdr:row>84</xdr:row>
      <xdr:rowOff>0</xdr:rowOff>
    </xdr:to>
    <xdr:graphicFrame>
      <xdr:nvGraphicFramePr>
        <xdr:cNvPr id="2" name="Диаграмма 1"/>
        <xdr:cNvGraphicFramePr/>
      </xdr:nvGraphicFramePr>
      <xdr:xfrm>
        <a:off x="4373880" y="14075410"/>
        <a:ext cx="5779135" cy="3300095"/>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479611</xdr:colOff>
      <xdr:row>84</xdr:row>
      <xdr:rowOff>26895</xdr:rowOff>
    </xdr:from>
    <xdr:to>
      <xdr:col>9</xdr:col>
      <xdr:colOff>824753</xdr:colOff>
      <xdr:row>102</xdr:row>
      <xdr:rowOff>112059</xdr:rowOff>
    </xdr:to>
    <xdr:graphicFrame>
      <xdr:nvGraphicFramePr>
        <xdr:cNvPr id="3" name="Диаграмма 2"/>
        <xdr:cNvGraphicFramePr/>
      </xdr:nvGraphicFramePr>
      <xdr:xfrm>
        <a:off x="4342765" y="17402175"/>
        <a:ext cx="5747385" cy="337693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354104</xdr:colOff>
      <xdr:row>69</xdr:row>
      <xdr:rowOff>649941</xdr:rowOff>
    </xdr:from>
    <xdr:to>
      <xdr:col>21</xdr:col>
      <xdr:colOff>385481</xdr:colOff>
      <xdr:row>91</xdr:row>
      <xdr:rowOff>80681</xdr:rowOff>
    </xdr:to>
    <xdr:graphicFrame>
      <xdr:nvGraphicFramePr>
        <xdr:cNvPr id="4" name="Диаграмма 3"/>
        <xdr:cNvGraphicFramePr/>
      </xdr:nvGraphicFramePr>
      <xdr:xfrm>
        <a:off x="12271375" y="14702790"/>
        <a:ext cx="6203950" cy="403352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10.xml><?xml version="1.0" encoding="utf-8"?>
<xdr:wsDr xmlns:xdr="http://schemas.openxmlformats.org/drawingml/2006/spreadsheetDrawing" xmlns:r="http://schemas.openxmlformats.org/officeDocument/2006/relationships" xmlns:a="http://schemas.openxmlformats.org/drawingml/2006/main">
  <xdr:twoCellAnchor>
    <xdr:from>
      <xdr:col>9</xdr:col>
      <xdr:colOff>251460</xdr:colOff>
      <xdr:row>0</xdr:row>
      <xdr:rowOff>175260</xdr:rowOff>
    </xdr:from>
    <xdr:to>
      <xdr:col>15</xdr:col>
      <xdr:colOff>251460</xdr:colOff>
      <xdr:row>10</xdr:row>
      <xdr:rowOff>175260</xdr:rowOff>
    </xdr:to>
    <xdr:graphicFrame>
      <xdr:nvGraphicFramePr>
        <xdr:cNvPr id="2" name="Диаграмма 1"/>
        <xdr:cNvGraphicFramePr/>
      </xdr:nvGraphicFramePr>
      <xdr:xfrm>
        <a:off x="14203680" y="175260"/>
        <a:ext cx="3703320" cy="1857375"/>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251460</xdr:colOff>
      <xdr:row>2</xdr:row>
      <xdr:rowOff>175260</xdr:rowOff>
    </xdr:from>
    <xdr:to>
      <xdr:col>16</xdr:col>
      <xdr:colOff>251460</xdr:colOff>
      <xdr:row>12</xdr:row>
      <xdr:rowOff>175260</xdr:rowOff>
    </xdr:to>
    <xdr:graphicFrame>
      <xdr:nvGraphicFramePr>
        <xdr:cNvPr id="3" name="Диаграмма 2"/>
        <xdr:cNvGraphicFramePr/>
      </xdr:nvGraphicFramePr>
      <xdr:xfrm>
        <a:off x="14820900" y="550545"/>
        <a:ext cx="3703320" cy="184785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251460</xdr:colOff>
      <xdr:row>4</xdr:row>
      <xdr:rowOff>175260</xdr:rowOff>
    </xdr:from>
    <xdr:to>
      <xdr:col>17</xdr:col>
      <xdr:colOff>251460</xdr:colOff>
      <xdr:row>14</xdr:row>
      <xdr:rowOff>175260</xdr:rowOff>
    </xdr:to>
    <xdr:graphicFrame>
      <xdr:nvGraphicFramePr>
        <xdr:cNvPr id="4" name="Диаграмма 3"/>
        <xdr:cNvGraphicFramePr/>
      </xdr:nvGraphicFramePr>
      <xdr:xfrm>
        <a:off x="15438120" y="916305"/>
        <a:ext cx="3703320" cy="1857375"/>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4.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10.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G7:T47"/>
  <sheetViews>
    <sheetView tabSelected="1" zoomScale="72" zoomScaleNormal="72" topLeftCell="A9" workbookViewId="0">
      <selection activeCell="F20" sqref="F20"/>
    </sheetView>
  </sheetViews>
  <sheetFormatPr defaultColWidth="8.88888888888889" defaultRowHeight="14.4"/>
  <sheetData>
    <row r="7" spans="7:20">
      <c r="G7" s="64"/>
      <c r="H7" s="64"/>
      <c r="I7" s="64"/>
      <c r="J7" s="64"/>
      <c r="K7" s="64"/>
      <c r="L7" s="64"/>
      <c r="M7" s="64"/>
      <c r="N7" s="64"/>
      <c r="O7" s="64"/>
      <c r="P7" s="64"/>
      <c r="Q7" s="64"/>
      <c r="R7" s="64"/>
      <c r="S7" s="64"/>
      <c r="T7" s="64"/>
    </row>
    <row r="8" spans="7:20">
      <c r="G8" s="65"/>
      <c r="H8" s="65"/>
      <c r="I8" s="65"/>
      <c r="J8" s="65"/>
      <c r="K8" s="65"/>
      <c r="L8" s="65"/>
      <c r="M8" s="65"/>
      <c r="N8" s="65"/>
      <c r="O8" s="65"/>
      <c r="P8" s="65"/>
      <c r="Q8" s="65"/>
      <c r="R8" s="65"/>
      <c r="S8" s="65"/>
      <c r="T8" s="65"/>
    </row>
    <row r="9" spans="7:20">
      <c r="G9" s="65"/>
      <c r="H9" s="65"/>
      <c r="I9" s="65"/>
      <c r="J9" s="65"/>
      <c r="K9" s="65"/>
      <c r="L9" s="65"/>
      <c r="M9" s="65"/>
      <c r="N9" s="65"/>
      <c r="O9" s="65"/>
      <c r="P9" s="65"/>
      <c r="Q9" s="65"/>
      <c r="R9" s="65"/>
      <c r="S9" s="65"/>
      <c r="T9" s="65"/>
    </row>
    <row r="10" spans="7:20">
      <c r="G10" s="65"/>
      <c r="H10" s="65"/>
      <c r="I10" s="65"/>
      <c r="J10" s="65"/>
      <c r="K10" s="65"/>
      <c r="L10" s="65"/>
      <c r="M10" s="65"/>
      <c r="N10" s="65"/>
      <c r="O10" s="65"/>
      <c r="P10" s="65"/>
      <c r="Q10" s="65"/>
      <c r="R10" s="65"/>
      <c r="S10" s="65"/>
      <c r="T10" s="65"/>
    </row>
    <row r="11" spans="7:20">
      <c r="G11" s="65"/>
      <c r="H11" s="65"/>
      <c r="I11" s="65"/>
      <c r="J11" s="65"/>
      <c r="K11" s="65"/>
      <c r="L11" s="65"/>
      <c r="M11" s="65"/>
      <c r="N11" s="65"/>
      <c r="O11" s="65"/>
      <c r="P11" s="65"/>
      <c r="Q11" s="65"/>
      <c r="R11" s="65"/>
      <c r="S11" s="65"/>
      <c r="T11" s="65"/>
    </row>
    <row r="12" spans="7:20">
      <c r="G12" s="65"/>
      <c r="H12" s="65"/>
      <c r="I12" s="65"/>
      <c r="J12" s="65"/>
      <c r="K12" s="65"/>
      <c r="L12" s="65"/>
      <c r="M12" s="65"/>
      <c r="N12" s="65"/>
      <c r="O12" s="65"/>
      <c r="P12" s="65"/>
      <c r="Q12" s="65"/>
      <c r="R12" s="65"/>
      <c r="S12" s="65"/>
      <c r="T12" s="65"/>
    </row>
    <row r="13" spans="7:20">
      <c r="G13" s="66" t="s">
        <v>0</v>
      </c>
      <c r="H13" s="67"/>
      <c r="I13" s="67"/>
      <c r="J13" s="67"/>
      <c r="K13" s="67"/>
      <c r="L13" s="67"/>
      <c r="M13" s="67"/>
      <c r="N13" s="67"/>
      <c r="O13" s="67"/>
      <c r="P13" s="67"/>
      <c r="Q13" s="67"/>
      <c r="R13" s="67"/>
      <c r="S13" s="67"/>
      <c r="T13" s="67"/>
    </row>
    <row r="14" spans="7:20">
      <c r="G14" s="67"/>
      <c r="H14" s="67"/>
      <c r="I14" s="67"/>
      <c r="J14" s="67"/>
      <c r="K14" s="67"/>
      <c r="L14" s="67"/>
      <c r="M14" s="67"/>
      <c r="N14" s="67"/>
      <c r="O14" s="67"/>
      <c r="P14" s="67"/>
      <c r="Q14" s="67"/>
      <c r="R14" s="67"/>
      <c r="S14" s="67"/>
      <c r="T14" s="67"/>
    </row>
    <row r="15" spans="7:20">
      <c r="G15" s="68" t="s">
        <v>1</v>
      </c>
      <c r="H15" s="69"/>
      <c r="I15" s="69"/>
      <c r="J15" s="69"/>
      <c r="K15" s="69"/>
      <c r="L15" s="69"/>
      <c r="M15" s="69"/>
      <c r="N15" s="69"/>
      <c r="O15" s="69"/>
      <c r="P15" s="69"/>
      <c r="Q15" s="69"/>
      <c r="R15" s="69"/>
      <c r="S15" s="69"/>
      <c r="T15" s="69"/>
    </row>
    <row r="16" spans="7:20">
      <c r="G16" s="69"/>
      <c r="H16" s="69"/>
      <c r="I16" s="69"/>
      <c r="J16" s="69"/>
      <c r="K16" s="69"/>
      <c r="L16" s="69"/>
      <c r="M16" s="69"/>
      <c r="N16" s="69"/>
      <c r="O16" s="69"/>
      <c r="P16" s="69"/>
      <c r="Q16" s="69"/>
      <c r="R16" s="69"/>
      <c r="S16" s="69"/>
      <c r="T16" s="69"/>
    </row>
    <row r="17" spans="7:20">
      <c r="G17" s="66" t="s">
        <v>2</v>
      </c>
      <c r="H17" s="70"/>
      <c r="I17" s="70"/>
      <c r="J17" s="70"/>
      <c r="K17" s="70"/>
      <c r="L17" s="70"/>
      <c r="M17" s="70"/>
      <c r="N17" s="70"/>
      <c r="O17" s="70"/>
      <c r="P17" s="70"/>
      <c r="Q17" s="70"/>
      <c r="R17" s="70"/>
      <c r="S17" s="70"/>
      <c r="T17" s="70"/>
    </row>
    <row r="18" spans="7:20">
      <c r="G18" s="70"/>
      <c r="H18" s="70"/>
      <c r="I18" s="70"/>
      <c r="J18" s="70"/>
      <c r="K18" s="70"/>
      <c r="L18" s="70"/>
      <c r="M18" s="70"/>
      <c r="N18" s="70"/>
      <c r="O18" s="70"/>
      <c r="P18" s="70"/>
      <c r="Q18" s="70"/>
      <c r="R18" s="70"/>
      <c r="S18" s="70"/>
      <c r="T18" s="70"/>
    </row>
    <row r="19" spans="7:20">
      <c r="G19" s="71" t="s">
        <v>3</v>
      </c>
      <c r="H19" s="71"/>
      <c r="I19" s="71"/>
      <c r="J19" s="71"/>
      <c r="K19" s="71"/>
      <c r="L19" s="71"/>
      <c r="M19" s="71"/>
      <c r="N19" s="71"/>
      <c r="O19" s="71"/>
      <c r="P19" s="71"/>
      <c r="Q19" s="71"/>
      <c r="R19" s="71"/>
      <c r="S19" s="71"/>
      <c r="T19" s="71"/>
    </row>
    <row r="20" spans="7:20">
      <c r="G20" s="71"/>
      <c r="H20" s="71"/>
      <c r="I20" s="71"/>
      <c r="J20" s="71"/>
      <c r="K20" s="71"/>
      <c r="L20" s="71"/>
      <c r="M20" s="71"/>
      <c r="N20" s="71"/>
      <c r="O20" s="71"/>
      <c r="P20" s="71"/>
      <c r="Q20" s="71"/>
      <c r="R20" s="71"/>
      <c r="S20" s="71"/>
      <c r="T20" s="71"/>
    </row>
    <row r="21" spans="7:20">
      <c r="G21" s="71"/>
      <c r="H21" s="71"/>
      <c r="I21" s="71"/>
      <c r="J21" s="71"/>
      <c r="K21" s="71"/>
      <c r="L21" s="71"/>
      <c r="M21" s="71"/>
      <c r="N21" s="71"/>
      <c r="O21" s="71"/>
      <c r="P21" s="71"/>
      <c r="Q21" s="71"/>
      <c r="R21" s="71"/>
      <c r="S21" s="71"/>
      <c r="T21" s="71"/>
    </row>
    <row r="22" spans="7:20">
      <c r="G22" s="71"/>
      <c r="H22" s="71"/>
      <c r="I22" s="71"/>
      <c r="J22" s="71"/>
      <c r="K22" s="71"/>
      <c r="L22" s="71"/>
      <c r="M22" s="71"/>
      <c r="N22" s="71"/>
      <c r="O22" s="71"/>
      <c r="P22" s="71"/>
      <c r="Q22" s="71"/>
      <c r="R22" s="71"/>
      <c r="S22" s="71"/>
      <c r="T22" s="71"/>
    </row>
    <row r="23" spans="7:20">
      <c r="G23" s="71"/>
      <c r="H23" s="71"/>
      <c r="I23" s="71"/>
      <c r="J23" s="71"/>
      <c r="K23" s="71"/>
      <c r="L23" s="71"/>
      <c r="M23" s="71"/>
      <c r="N23" s="71"/>
      <c r="O23" s="71"/>
      <c r="P23" s="71"/>
      <c r="Q23" s="71"/>
      <c r="R23" s="71"/>
      <c r="S23" s="71"/>
      <c r="T23" s="71"/>
    </row>
    <row r="24" spans="7:20">
      <c r="G24" s="71"/>
      <c r="H24" s="71"/>
      <c r="I24" s="71"/>
      <c r="J24" s="71"/>
      <c r="K24" s="71"/>
      <c r="L24" s="71"/>
      <c r="M24" s="71"/>
      <c r="N24" s="71"/>
      <c r="O24" s="71"/>
      <c r="P24" s="71"/>
      <c r="Q24" s="71"/>
      <c r="R24" s="71"/>
      <c r="S24" s="71"/>
      <c r="T24" s="71"/>
    </row>
    <row r="25" spans="7:20">
      <c r="G25" s="72" t="s">
        <v>4</v>
      </c>
      <c r="H25" s="73"/>
      <c r="I25" s="73"/>
      <c r="J25" s="73"/>
      <c r="K25" s="73"/>
      <c r="L25" s="73"/>
      <c r="M25" s="73"/>
      <c r="N25" s="73"/>
      <c r="O25" s="73"/>
      <c r="P25" s="73"/>
      <c r="Q25" s="73"/>
      <c r="R25" s="73"/>
      <c r="S25" s="73"/>
      <c r="T25" s="73"/>
    </row>
    <row r="26" spans="7:20">
      <c r="G26" s="73"/>
      <c r="H26" s="73"/>
      <c r="I26" s="73"/>
      <c r="J26" s="73"/>
      <c r="K26" s="73"/>
      <c r="L26" s="73"/>
      <c r="M26" s="73"/>
      <c r="N26" s="73"/>
      <c r="O26" s="73"/>
      <c r="P26" s="73"/>
      <c r="Q26" s="73"/>
      <c r="R26" s="73"/>
      <c r="S26" s="73"/>
      <c r="T26" s="73"/>
    </row>
    <row r="27" spans="7:20">
      <c r="G27" s="71" t="s">
        <v>5</v>
      </c>
      <c r="H27" s="71"/>
      <c r="I27" s="71"/>
      <c r="J27" s="71"/>
      <c r="K27" s="71"/>
      <c r="L27" s="71"/>
      <c r="M27" s="71"/>
      <c r="N27" s="71"/>
      <c r="O27" s="71"/>
      <c r="P27" s="71"/>
      <c r="Q27" s="71"/>
      <c r="R27" s="71"/>
      <c r="S27" s="71"/>
      <c r="T27" s="71"/>
    </row>
    <row r="28" spans="7:20">
      <c r="G28" s="71"/>
      <c r="H28" s="71"/>
      <c r="I28" s="71"/>
      <c r="J28" s="71"/>
      <c r="K28" s="71"/>
      <c r="L28" s="71"/>
      <c r="M28" s="71"/>
      <c r="N28" s="71"/>
      <c r="O28" s="71"/>
      <c r="P28" s="71"/>
      <c r="Q28" s="71"/>
      <c r="R28" s="71"/>
      <c r="S28" s="71"/>
      <c r="T28" s="71"/>
    </row>
    <row r="29" spans="7:20">
      <c r="G29" s="71"/>
      <c r="H29" s="71"/>
      <c r="I29" s="71"/>
      <c r="J29" s="71"/>
      <c r="K29" s="71"/>
      <c r="L29" s="71"/>
      <c r="M29" s="71"/>
      <c r="N29" s="71"/>
      <c r="O29" s="71"/>
      <c r="P29" s="71"/>
      <c r="Q29" s="71"/>
      <c r="R29" s="71"/>
      <c r="S29" s="71"/>
      <c r="T29" s="71"/>
    </row>
    <row r="30" spans="7:20">
      <c r="G30" s="71"/>
      <c r="H30" s="71"/>
      <c r="I30" s="71"/>
      <c r="J30" s="71"/>
      <c r="K30" s="71"/>
      <c r="L30" s="71"/>
      <c r="M30" s="71"/>
      <c r="N30" s="71"/>
      <c r="O30" s="71"/>
      <c r="P30" s="71"/>
      <c r="Q30" s="71"/>
      <c r="R30" s="71"/>
      <c r="S30" s="71"/>
      <c r="T30" s="71"/>
    </row>
    <row r="31" spans="7:20">
      <c r="G31" s="71"/>
      <c r="H31" s="71"/>
      <c r="I31" s="71"/>
      <c r="J31" s="71"/>
      <c r="K31" s="71"/>
      <c r="L31" s="71"/>
      <c r="M31" s="71"/>
      <c r="N31" s="71"/>
      <c r="O31" s="71"/>
      <c r="P31" s="71"/>
      <c r="Q31" s="71"/>
      <c r="R31" s="71"/>
      <c r="S31" s="71"/>
      <c r="T31" s="71"/>
    </row>
    <row r="32" spans="7:20">
      <c r="G32" s="72" t="s">
        <v>6</v>
      </c>
      <c r="H32" s="73"/>
      <c r="I32" s="73"/>
      <c r="J32" s="73"/>
      <c r="K32" s="73"/>
      <c r="L32" s="73"/>
      <c r="M32" s="73"/>
      <c r="N32" s="73"/>
      <c r="O32" s="73"/>
      <c r="P32" s="73"/>
      <c r="Q32" s="73"/>
      <c r="R32" s="73"/>
      <c r="S32" s="73"/>
      <c r="T32" s="73"/>
    </row>
    <row r="33" spans="7:20">
      <c r="G33" s="73"/>
      <c r="H33" s="73"/>
      <c r="I33" s="73"/>
      <c r="J33" s="73"/>
      <c r="K33" s="73"/>
      <c r="L33" s="73"/>
      <c r="M33" s="73"/>
      <c r="N33" s="73"/>
      <c r="O33" s="73"/>
      <c r="P33" s="73"/>
      <c r="Q33" s="73"/>
      <c r="R33" s="73"/>
      <c r="S33" s="73"/>
      <c r="T33" s="73"/>
    </row>
    <row r="34" spans="7:20">
      <c r="G34" s="71" t="s">
        <v>7</v>
      </c>
      <c r="H34" s="71"/>
      <c r="I34" s="71"/>
      <c r="J34" s="71"/>
      <c r="K34" s="71"/>
      <c r="L34" s="71"/>
      <c r="M34" s="71"/>
      <c r="N34" s="71"/>
      <c r="O34" s="71"/>
      <c r="P34" s="71"/>
      <c r="Q34" s="71"/>
      <c r="R34" s="71"/>
      <c r="S34" s="71"/>
      <c r="T34" s="71"/>
    </row>
    <row r="35" spans="7:20">
      <c r="G35" s="71"/>
      <c r="H35" s="71"/>
      <c r="I35" s="71"/>
      <c r="J35" s="71"/>
      <c r="K35" s="71"/>
      <c r="L35" s="71"/>
      <c r="M35" s="71"/>
      <c r="N35" s="71"/>
      <c r="O35" s="71"/>
      <c r="P35" s="71"/>
      <c r="Q35" s="71"/>
      <c r="R35" s="71"/>
      <c r="S35" s="71"/>
      <c r="T35" s="71"/>
    </row>
    <row r="36" spans="7:20">
      <c r="G36" s="70" t="s">
        <v>8</v>
      </c>
      <c r="H36" s="70"/>
      <c r="I36" s="70"/>
      <c r="J36" s="70"/>
      <c r="K36" s="70"/>
      <c r="L36" s="70"/>
      <c r="M36" s="70"/>
      <c r="N36" s="70"/>
      <c r="O36" s="70"/>
      <c r="P36" s="70"/>
      <c r="Q36" s="70"/>
      <c r="R36" s="70"/>
      <c r="S36" s="70"/>
      <c r="T36" s="70"/>
    </row>
    <row r="37" spans="7:20">
      <c r="G37" s="70"/>
      <c r="H37" s="70"/>
      <c r="I37" s="70"/>
      <c r="J37" s="70"/>
      <c r="K37" s="70"/>
      <c r="L37" s="70"/>
      <c r="M37" s="70"/>
      <c r="N37" s="70"/>
      <c r="O37" s="70"/>
      <c r="P37" s="70"/>
      <c r="Q37" s="70"/>
      <c r="R37" s="70"/>
      <c r="S37" s="70"/>
      <c r="T37" s="70"/>
    </row>
    <row r="38" spans="7:20">
      <c r="G38" s="71" t="s">
        <v>9</v>
      </c>
      <c r="H38" s="71"/>
      <c r="I38" s="71"/>
      <c r="J38" s="71"/>
      <c r="K38" s="71"/>
      <c r="L38" s="71"/>
      <c r="M38" s="71"/>
      <c r="N38" s="71"/>
      <c r="O38" s="71"/>
      <c r="P38" s="71"/>
      <c r="Q38" s="71"/>
      <c r="R38" s="71"/>
      <c r="S38" s="71"/>
      <c r="T38" s="71"/>
    </row>
    <row r="39" spans="7:20">
      <c r="G39" s="71"/>
      <c r="H39" s="71"/>
      <c r="I39" s="71"/>
      <c r="J39" s="71"/>
      <c r="K39" s="71"/>
      <c r="L39" s="71"/>
      <c r="M39" s="71"/>
      <c r="N39" s="71"/>
      <c r="O39" s="71"/>
      <c r="P39" s="71"/>
      <c r="Q39" s="71"/>
      <c r="R39" s="71"/>
      <c r="S39" s="71"/>
      <c r="T39" s="71"/>
    </row>
    <row r="40" spans="7:20">
      <c r="G40" s="71"/>
      <c r="H40" s="71"/>
      <c r="I40" s="71"/>
      <c r="J40" s="71"/>
      <c r="K40" s="71"/>
      <c r="L40" s="71"/>
      <c r="M40" s="71"/>
      <c r="N40" s="71"/>
      <c r="O40" s="71"/>
      <c r="P40" s="71"/>
      <c r="Q40" s="71"/>
      <c r="R40" s="71"/>
      <c r="S40" s="71"/>
      <c r="T40" s="71"/>
    </row>
    <row r="41" spans="7:20">
      <c r="G41" s="71"/>
      <c r="H41" s="71"/>
      <c r="I41" s="71"/>
      <c r="J41" s="71"/>
      <c r="K41" s="71"/>
      <c r="L41" s="71"/>
      <c r="M41" s="71"/>
      <c r="N41" s="71"/>
      <c r="O41" s="71"/>
      <c r="P41" s="71"/>
      <c r="Q41" s="71"/>
      <c r="R41" s="71"/>
      <c r="S41" s="71"/>
      <c r="T41" s="71"/>
    </row>
    <row r="42" spans="7:20">
      <c r="G42" s="71"/>
      <c r="H42" s="71"/>
      <c r="I42" s="71"/>
      <c r="J42" s="71"/>
      <c r="K42" s="71"/>
      <c r="L42" s="71"/>
      <c r="M42" s="71"/>
      <c r="N42" s="71"/>
      <c r="O42" s="71"/>
      <c r="P42" s="71"/>
      <c r="Q42" s="71"/>
      <c r="R42" s="71"/>
      <c r="S42" s="71"/>
      <c r="T42" s="71"/>
    </row>
    <row r="43" spans="7:20">
      <c r="G43" s="66" t="s">
        <v>10</v>
      </c>
      <c r="H43" s="70"/>
      <c r="I43" s="70"/>
      <c r="J43" s="70"/>
      <c r="K43" s="70"/>
      <c r="L43" s="70"/>
      <c r="M43" s="70"/>
      <c r="N43" s="70"/>
      <c r="O43" s="70"/>
      <c r="P43" s="70"/>
      <c r="Q43" s="70"/>
      <c r="R43" s="70"/>
      <c r="S43" s="70"/>
      <c r="T43" s="70"/>
    </row>
    <row r="44" spans="7:20">
      <c r="G44" s="70"/>
      <c r="H44" s="70"/>
      <c r="I44" s="70"/>
      <c r="J44" s="70"/>
      <c r="K44" s="70"/>
      <c r="L44" s="70"/>
      <c r="M44" s="70"/>
      <c r="N44" s="70"/>
      <c r="O44" s="70"/>
      <c r="P44" s="70"/>
      <c r="Q44" s="70"/>
      <c r="R44" s="70"/>
      <c r="S44" s="70"/>
      <c r="T44" s="70"/>
    </row>
    <row r="45" spans="7:20">
      <c r="G45" s="71" t="s">
        <v>11</v>
      </c>
      <c r="H45" s="71"/>
      <c r="I45" s="71"/>
      <c r="J45" s="71"/>
      <c r="K45" s="71"/>
      <c r="L45" s="71"/>
      <c r="M45" s="71"/>
      <c r="N45" s="71"/>
      <c r="O45" s="71"/>
      <c r="P45" s="71"/>
      <c r="Q45" s="71"/>
      <c r="R45" s="71"/>
      <c r="S45" s="71"/>
      <c r="T45" s="71"/>
    </row>
    <row r="46" spans="7:20">
      <c r="G46" s="71"/>
      <c r="H46" s="71"/>
      <c r="I46" s="71"/>
      <c r="J46" s="71"/>
      <c r="K46" s="71"/>
      <c r="L46" s="71"/>
      <c r="M46" s="71"/>
      <c r="N46" s="71"/>
      <c r="O46" s="71"/>
      <c r="P46" s="71"/>
      <c r="Q46" s="71"/>
      <c r="R46" s="71"/>
      <c r="S46" s="71"/>
      <c r="T46" s="71"/>
    </row>
    <row r="47" spans="7:20">
      <c r="G47" s="71"/>
      <c r="H47" s="71"/>
      <c r="I47" s="71"/>
      <c r="J47" s="71"/>
      <c r="K47" s="71"/>
      <c r="L47" s="71"/>
      <c r="M47" s="71"/>
      <c r="N47" s="71"/>
      <c r="O47" s="71"/>
      <c r="P47" s="71"/>
      <c r="Q47" s="71"/>
      <c r="R47" s="71"/>
      <c r="S47" s="71"/>
      <c r="T47" s="71"/>
    </row>
  </sheetData>
  <mergeCells count="12">
    <mergeCell ref="G15:T16"/>
    <mergeCell ref="G17:T18"/>
    <mergeCell ref="G19:T24"/>
    <mergeCell ref="G25:T26"/>
    <mergeCell ref="G13:T14"/>
    <mergeCell ref="G27:T31"/>
    <mergeCell ref="G32:T33"/>
    <mergeCell ref="G34:T35"/>
    <mergeCell ref="G36:T37"/>
    <mergeCell ref="G38:T42"/>
    <mergeCell ref="G43:T44"/>
    <mergeCell ref="G45:T47"/>
  </mergeCells>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E7:N28"/>
  <sheetViews>
    <sheetView zoomScale="112" zoomScaleNormal="112" topLeftCell="A6" workbookViewId="0">
      <selection activeCell="E15" sqref="E15:N16"/>
    </sheetView>
  </sheetViews>
  <sheetFormatPr defaultColWidth="8.88888888888889" defaultRowHeight="14.4"/>
  <sheetData>
    <row r="7" spans="5:14">
      <c r="E7" s="60" t="s">
        <v>12</v>
      </c>
      <c r="F7" s="61"/>
      <c r="G7" s="61"/>
      <c r="H7" s="61"/>
      <c r="I7" s="61"/>
      <c r="J7" s="61"/>
      <c r="K7" s="61"/>
      <c r="L7" s="61"/>
      <c r="M7" s="61"/>
      <c r="N7" s="61"/>
    </row>
    <row r="8" spans="5:14">
      <c r="E8" s="61"/>
      <c r="F8" s="61"/>
      <c r="G8" s="61"/>
      <c r="H8" s="61"/>
      <c r="I8" s="61"/>
      <c r="J8" s="61"/>
      <c r="K8" s="61"/>
      <c r="L8" s="61"/>
      <c r="M8" s="61"/>
      <c r="N8" s="61"/>
    </row>
    <row r="9" spans="5:14">
      <c r="E9" s="52" t="s">
        <v>13</v>
      </c>
      <c r="F9" s="52"/>
      <c r="G9" s="52"/>
      <c r="H9" s="52"/>
      <c r="I9" s="52"/>
      <c r="J9" s="52"/>
      <c r="K9" s="52"/>
      <c r="L9" s="52"/>
      <c r="M9" s="52"/>
      <c r="N9" s="52"/>
    </row>
    <row r="10" spans="5:14">
      <c r="E10" s="52"/>
      <c r="F10" s="52"/>
      <c r="G10" s="52"/>
      <c r="H10" s="52"/>
      <c r="I10" s="52"/>
      <c r="J10" s="52"/>
      <c r="K10" s="52"/>
      <c r="L10" s="52"/>
      <c r="M10" s="52"/>
      <c r="N10" s="52"/>
    </row>
    <row r="11" spans="5:14">
      <c r="E11" s="60" t="s">
        <v>14</v>
      </c>
      <c r="F11" s="61"/>
      <c r="G11" s="61"/>
      <c r="H11" s="61"/>
      <c r="I11" s="61"/>
      <c r="J11" s="61"/>
      <c r="K11" s="61"/>
      <c r="L11" s="61"/>
      <c r="M11" s="61"/>
      <c r="N11" s="61"/>
    </row>
    <row r="12" spans="5:14">
      <c r="E12" s="61"/>
      <c r="F12" s="61"/>
      <c r="G12" s="61"/>
      <c r="H12" s="61"/>
      <c r="I12" s="61"/>
      <c r="J12" s="61"/>
      <c r="K12" s="61"/>
      <c r="L12" s="61"/>
      <c r="M12" s="61"/>
      <c r="N12" s="61"/>
    </row>
    <row r="13" spans="5:14">
      <c r="E13" s="52" t="s">
        <v>15</v>
      </c>
      <c r="F13" s="52"/>
      <c r="G13" s="52"/>
      <c r="H13" s="52"/>
      <c r="I13" s="52"/>
      <c r="J13" s="52"/>
      <c r="K13" s="52"/>
      <c r="L13" s="52"/>
      <c r="M13" s="52"/>
      <c r="N13" s="52"/>
    </row>
    <row r="14" spans="5:14">
      <c r="E14" s="52"/>
      <c r="F14" s="52"/>
      <c r="G14" s="52"/>
      <c r="H14" s="52"/>
      <c r="I14" s="52"/>
      <c r="J14" s="52"/>
      <c r="K14" s="52"/>
      <c r="L14" s="52"/>
      <c r="M14" s="52"/>
      <c r="N14" s="52"/>
    </row>
    <row r="15" spans="5:14">
      <c r="E15" s="62" t="s">
        <v>16</v>
      </c>
      <c r="F15" s="63"/>
      <c r="G15" s="63"/>
      <c r="H15" s="63"/>
      <c r="I15" s="63"/>
      <c r="J15" s="63"/>
      <c r="K15" s="63"/>
      <c r="L15" s="63"/>
      <c r="M15" s="63"/>
      <c r="N15" s="63"/>
    </row>
    <row r="16" spans="5:14">
      <c r="E16" s="63"/>
      <c r="F16" s="63"/>
      <c r="G16" s="63"/>
      <c r="H16" s="63"/>
      <c r="I16" s="63"/>
      <c r="J16" s="63"/>
      <c r="K16" s="63"/>
      <c r="L16" s="63"/>
      <c r="M16" s="63"/>
      <c r="N16" s="63"/>
    </row>
    <row r="17" spans="5:14">
      <c r="E17" s="52" t="s">
        <v>17</v>
      </c>
      <c r="F17" s="52"/>
      <c r="G17" s="52"/>
      <c r="H17" s="52"/>
      <c r="I17" s="52"/>
      <c r="J17" s="52"/>
      <c r="K17" s="52"/>
      <c r="L17" s="52"/>
      <c r="M17" s="52"/>
      <c r="N17" s="52"/>
    </row>
    <row r="18" spans="5:14">
      <c r="E18" s="52"/>
      <c r="F18" s="52"/>
      <c r="G18" s="52"/>
      <c r="H18" s="52"/>
      <c r="I18" s="52"/>
      <c r="J18" s="52"/>
      <c r="K18" s="52"/>
      <c r="L18" s="52"/>
      <c r="M18" s="52"/>
      <c r="N18" s="52"/>
    </row>
    <row r="19" spans="5:14">
      <c r="E19" s="52"/>
      <c r="F19" s="52"/>
      <c r="G19" s="52"/>
      <c r="H19" s="52"/>
      <c r="I19" s="52"/>
      <c r="J19" s="52"/>
      <c r="K19" s="52"/>
      <c r="L19" s="52"/>
      <c r="M19" s="52"/>
      <c r="N19" s="52"/>
    </row>
    <row r="20" spans="5:14">
      <c r="E20" s="52"/>
      <c r="F20" s="52"/>
      <c r="G20" s="52"/>
      <c r="H20" s="52"/>
      <c r="I20" s="52"/>
      <c r="J20" s="52"/>
      <c r="K20" s="52"/>
      <c r="L20" s="52"/>
      <c r="M20" s="52"/>
      <c r="N20" s="52"/>
    </row>
    <row r="21" spans="5:14">
      <c r="E21" s="52"/>
      <c r="F21" s="52"/>
      <c r="G21" s="52"/>
      <c r="H21" s="52"/>
      <c r="I21" s="52"/>
      <c r="J21" s="52"/>
      <c r="K21" s="52"/>
      <c r="L21" s="52"/>
      <c r="M21" s="52"/>
      <c r="N21" s="52"/>
    </row>
    <row r="22" spans="5:14">
      <c r="E22" s="52"/>
      <c r="F22" s="52"/>
      <c r="G22" s="52"/>
      <c r="H22" s="52"/>
      <c r="I22" s="52"/>
      <c r="J22" s="52"/>
      <c r="K22" s="52"/>
      <c r="L22" s="52"/>
      <c r="M22" s="52"/>
      <c r="N22" s="52"/>
    </row>
    <row r="23" spans="5:14">
      <c r="E23" s="52"/>
      <c r="F23" s="52"/>
      <c r="G23" s="52"/>
      <c r="H23" s="52"/>
      <c r="I23" s="52"/>
      <c r="J23" s="52"/>
      <c r="K23" s="52"/>
      <c r="L23" s="52"/>
      <c r="M23" s="52"/>
      <c r="N23" s="52"/>
    </row>
    <row r="24" spans="5:14">
      <c r="E24" s="52"/>
      <c r="F24" s="52"/>
      <c r="G24" s="52"/>
      <c r="H24" s="52"/>
      <c r="I24" s="52"/>
      <c r="J24" s="52"/>
      <c r="K24" s="52"/>
      <c r="L24" s="52"/>
      <c r="M24" s="52"/>
      <c r="N24" s="52"/>
    </row>
    <row r="25" spans="5:14">
      <c r="E25" s="52"/>
      <c r="F25" s="52"/>
      <c r="G25" s="52"/>
      <c r="H25" s="52"/>
      <c r="I25" s="52"/>
      <c r="J25" s="52"/>
      <c r="K25" s="52"/>
      <c r="L25" s="52"/>
      <c r="M25" s="52"/>
      <c r="N25" s="52"/>
    </row>
    <row r="26" spans="5:14">
      <c r="E26" s="52"/>
      <c r="F26" s="52"/>
      <c r="G26" s="52"/>
      <c r="H26" s="52"/>
      <c r="I26" s="52"/>
      <c r="J26" s="52"/>
      <c r="K26" s="52"/>
      <c r="L26" s="52"/>
      <c r="M26" s="52"/>
      <c r="N26" s="52"/>
    </row>
    <row r="27" spans="5:14">
      <c r="E27" s="52"/>
      <c r="F27" s="52"/>
      <c r="G27" s="52"/>
      <c r="H27" s="52"/>
      <c r="I27" s="52"/>
      <c r="J27" s="52"/>
      <c r="K27" s="52"/>
      <c r="L27" s="52"/>
      <c r="M27" s="52"/>
      <c r="N27" s="52"/>
    </row>
    <row r="28" spans="5:14">
      <c r="E28" s="52"/>
      <c r="F28" s="52"/>
      <c r="G28" s="52"/>
      <c r="H28" s="52"/>
      <c r="I28" s="52"/>
      <c r="J28" s="52"/>
      <c r="K28" s="52"/>
      <c r="L28" s="52"/>
      <c r="M28" s="52"/>
      <c r="N28" s="52"/>
    </row>
  </sheetData>
  <mergeCells count="6">
    <mergeCell ref="E17:N28"/>
    <mergeCell ref="E9:N10"/>
    <mergeCell ref="E13:N14"/>
    <mergeCell ref="E7:N8"/>
    <mergeCell ref="E11:N12"/>
    <mergeCell ref="E15:N16"/>
  </mergeCells>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F5:N56"/>
  <sheetViews>
    <sheetView topLeftCell="D37" workbookViewId="0">
      <selection activeCell="E45" sqref="E45"/>
    </sheetView>
  </sheetViews>
  <sheetFormatPr defaultColWidth="8.88888888888889" defaultRowHeight="14.4"/>
  <sheetData>
    <row r="5" spans="6:13">
      <c r="F5" s="48" t="s">
        <v>18</v>
      </c>
      <c r="G5" s="49"/>
      <c r="H5" s="49"/>
      <c r="I5" s="49"/>
      <c r="J5" s="49"/>
      <c r="K5" s="49"/>
      <c r="L5" s="49"/>
      <c r="M5" s="49"/>
    </row>
    <row r="6" spans="6:13">
      <c r="F6" s="49"/>
      <c r="G6" s="49"/>
      <c r="H6" s="49"/>
      <c r="I6" s="49"/>
      <c r="J6" s="49"/>
      <c r="K6" s="49"/>
      <c r="L6" s="49"/>
      <c r="M6" s="49"/>
    </row>
    <row r="7" spans="6:13">
      <c r="F7" s="50" t="s">
        <v>19</v>
      </c>
      <c r="G7" s="51"/>
      <c r="H7" s="51"/>
      <c r="I7" s="51"/>
      <c r="J7" s="51"/>
      <c r="K7" s="51"/>
      <c r="L7" s="51"/>
      <c r="M7" s="51"/>
    </row>
    <row r="8" spans="6:13">
      <c r="F8" s="51"/>
      <c r="G8" s="51"/>
      <c r="H8" s="51"/>
      <c r="I8" s="51"/>
      <c r="J8" s="51"/>
      <c r="K8" s="51"/>
      <c r="L8" s="51"/>
      <c r="M8" s="51"/>
    </row>
    <row r="9" spans="6:13">
      <c r="F9" s="51"/>
      <c r="G9" s="51"/>
      <c r="H9" s="51"/>
      <c r="I9" s="51"/>
      <c r="J9" s="51"/>
      <c r="K9" s="51"/>
      <c r="L9" s="51"/>
      <c r="M9" s="51"/>
    </row>
    <row r="10" spans="6:13">
      <c r="F10" s="51"/>
      <c r="G10" s="51"/>
      <c r="H10" s="51"/>
      <c r="I10" s="51"/>
      <c r="J10" s="51"/>
      <c r="K10" s="51"/>
      <c r="L10" s="51"/>
      <c r="M10" s="51"/>
    </row>
    <row r="11" spans="6:13">
      <c r="F11" s="51"/>
      <c r="G11" s="51"/>
      <c r="H11" s="51"/>
      <c r="I11" s="51"/>
      <c r="J11" s="51"/>
      <c r="K11" s="51"/>
      <c r="L11" s="51"/>
      <c r="M11" s="51"/>
    </row>
    <row r="12" spans="6:13">
      <c r="F12" s="51"/>
      <c r="G12" s="51"/>
      <c r="H12" s="51"/>
      <c r="I12" s="51"/>
      <c r="J12" s="51"/>
      <c r="K12" s="51"/>
      <c r="L12" s="51"/>
      <c r="M12" s="51"/>
    </row>
    <row r="13" spans="6:13">
      <c r="F13" s="52" t="s">
        <v>20</v>
      </c>
      <c r="G13" s="52"/>
      <c r="H13" s="52"/>
      <c r="I13" s="52"/>
      <c r="J13" s="52"/>
      <c r="K13" s="52"/>
      <c r="L13" s="52"/>
      <c r="M13" s="52"/>
    </row>
    <row r="14" spans="6:13">
      <c r="F14" s="52"/>
      <c r="G14" s="52"/>
      <c r="H14" s="52"/>
      <c r="I14" s="52"/>
      <c r="J14" s="52"/>
      <c r="K14" s="52"/>
      <c r="L14" s="52"/>
      <c r="M14" s="52"/>
    </row>
    <row r="15" spans="6:13">
      <c r="F15" s="53" t="s">
        <v>21</v>
      </c>
      <c r="G15" s="54"/>
      <c r="H15" s="54"/>
      <c r="I15" s="54"/>
      <c r="J15" s="54"/>
      <c r="K15" s="54"/>
      <c r="L15" s="54"/>
      <c r="M15" s="54"/>
    </row>
    <row r="16" spans="6:13">
      <c r="F16" s="54"/>
      <c r="G16" s="54"/>
      <c r="H16" s="54"/>
      <c r="I16" s="54"/>
      <c r="J16" s="54"/>
      <c r="K16" s="54"/>
      <c r="L16" s="54"/>
      <c r="M16" s="54"/>
    </row>
    <row r="17" spans="6:13">
      <c r="F17" s="55" t="s">
        <v>22</v>
      </c>
      <c r="G17" s="56"/>
      <c r="H17" s="56"/>
      <c r="I17" s="56"/>
      <c r="J17" s="56"/>
      <c r="K17" s="56"/>
      <c r="L17" s="56"/>
      <c r="M17" s="56"/>
    </row>
    <row r="18" spans="6:13">
      <c r="F18" s="56"/>
      <c r="G18" s="56"/>
      <c r="H18" s="56"/>
      <c r="I18" s="56"/>
      <c r="J18" s="56"/>
      <c r="K18" s="56"/>
      <c r="L18" s="56"/>
      <c r="M18" s="56"/>
    </row>
    <row r="19" spans="6:13">
      <c r="F19" s="56"/>
      <c r="G19" s="56"/>
      <c r="H19" s="56"/>
      <c r="I19" s="56"/>
      <c r="J19" s="56"/>
      <c r="K19" s="56"/>
      <c r="L19" s="56"/>
      <c r="M19" s="56"/>
    </row>
    <row r="20" spans="6:13">
      <c r="F20" s="53" t="s">
        <v>23</v>
      </c>
      <c r="G20" s="54"/>
      <c r="H20" s="54"/>
      <c r="I20" s="54"/>
      <c r="J20" s="54"/>
      <c r="K20" s="54"/>
      <c r="L20" s="54"/>
      <c r="M20" s="54"/>
    </row>
    <row r="21" spans="6:13">
      <c r="F21" s="54"/>
      <c r="G21" s="54"/>
      <c r="H21" s="54"/>
      <c r="I21" s="54"/>
      <c r="J21" s="54"/>
      <c r="K21" s="54"/>
      <c r="L21" s="54"/>
      <c r="M21" s="54"/>
    </row>
    <row r="22" spans="6:13">
      <c r="F22" s="54"/>
      <c r="G22" s="54"/>
      <c r="H22" s="54"/>
      <c r="I22" s="54"/>
      <c r="J22" s="54"/>
      <c r="K22" s="54"/>
      <c r="L22" s="54"/>
      <c r="M22" s="54"/>
    </row>
    <row r="23" spans="6:13">
      <c r="F23" s="54"/>
      <c r="G23" s="54"/>
      <c r="H23" s="54"/>
      <c r="I23" s="54"/>
      <c r="J23" s="54"/>
      <c r="K23" s="54"/>
      <c r="L23" s="54"/>
      <c r="M23" s="54"/>
    </row>
    <row r="24" spans="6:13">
      <c r="F24" s="54"/>
      <c r="G24" s="54"/>
      <c r="H24" s="54"/>
      <c r="I24" s="54"/>
      <c r="J24" s="54"/>
      <c r="K24" s="54"/>
      <c r="L24" s="54"/>
      <c r="M24" s="54"/>
    </row>
    <row r="25" spans="6:13">
      <c r="F25" s="54"/>
      <c r="G25" s="54"/>
      <c r="H25" s="54"/>
      <c r="I25" s="54"/>
      <c r="J25" s="54"/>
      <c r="K25" s="54"/>
      <c r="L25" s="54"/>
      <c r="M25" s="54"/>
    </row>
    <row r="26" spans="6:13">
      <c r="F26" s="50" t="s">
        <v>24</v>
      </c>
      <c r="G26" s="51"/>
      <c r="H26" s="51"/>
      <c r="I26" s="51"/>
      <c r="J26" s="51"/>
      <c r="K26" s="51"/>
      <c r="L26" s="51"/>
      <c r="M26" s="51"/>
    </row>
    <row r="27" spans="6:13">
      <c r="F27" s="51"/>
      <c r="G27" s="51"/>
      <c r="H27" s="51"/>
      <c r="I27" s="51"/>
      <c r="J27" s="51"/>
      <c r="K27" s="51"/>
      <c r="L27" s="51"/>
      <c r="M27" s="51"/>
    </row>
    <row r="28" spans="6:13">
      <c r="F28" s="52" t="s">
        <v>25</v>
      </c>
      <c r="G28" s="57"/>
      <c r="H28" s="57"/>
      <c r="I28" s="57"/>
      <c r="J28" s="57"/>
      <c r="K28" s="57"/>
      <c r="L28" s="57"/>
      <c r="M28" s="57"/>
    </row>
    <row r="29" spans="6:13">
      <c r="F29" s="57"/>
      <c r="G29" s="57"/>
      <c r="H29" s="57"/>
      <c r="I29" s="57"/>
      <c r="J29" s="57"/>
      <c r="K29" s="57"/>
      <c r="L29" s="57"/>
      <c r="M29" s="57"/>
    </row>
    <row r="30" spans="6:13">
      <c r="F30" s="57"/>
      <c r="G30" s="57"/>
      <c r="H30" s="57"/>
      <c r="I30" s="57"/>
      <c r="J30" s="57"/>
      <c r="K30" s="57"/>
      <c r="L30" s="57"/>
      <c r="M30" s="57"/>
    </row>
    <row r="31" spans="6:13">
      <c r="F31" s="57"/>
      <c r="G31" s="57"/>
      <c r="H31" s="57"/>
      <c r="I31" s="57"/>
      <c r="J31" s="57"/>
      <c r="K31" s="57"/>
      <c r="L31" s="57"/>
      <c r="M31" s="57"/>
    </row>
    <row r="32" spans="6:13">
      <c r="F32" s="57"/>
      <c r="G32" s="57"/>
      <c r="H32" s="57"/>
      <c r="I32" s="57"/>
      <c r="J32" s="57"/>
      <c r="K32" s="57"/>
      <c r="L32" s="57"/>
      <c r="M32" s="57"/>
    </row>
    <row r="33" spans="6:14">
      <c r="F33" s="52" t="s">
        <v>26</v>
      </c>
      <c r="G33" s="52"/>
      <c r="H33" s="52"/>
      <c r="I33" s="52"/>
      <c r="J33" s="52"/>
      <c r="K33" s="52"/>
      <c r="L33" s="52"/>
      <c r="M33" s="52"/>
    </row>
    <row r="34" spans="6:14">
      <c r="F34" s="52"/>
      <c r="G34" s="52"/>
      <c r="H34" s="52"/>
      <c r="I34" s="52"/>
      <c r="J34" s="52"/>
      <c r="K34" s="52"/>
      <c r="L34" s="52"/>
      <c r="M34" s="52"/>
    </row>
    <row r="35" spans="6:14">
      <c r="F35" s="52"/>
      <c r="G35" s="52"/>
      <c r="H35" s="52"/>
      <c r="I35" s="52"/>
      <c r="J35" s="52"/>
      <c r="K35" s="52"/>
      <c r="L35" s="52"/>
      <c r="M35" s="52"/>
    </row>
    <row r="36" spans="6:14">
      <c r="F36" s="52" t="s">
        <v>27</v>
      </c>
      <c r="G36" s="52"/>
      <c r="H36" s="52"/>
      <c r="I36" s="52"/>
      <c r="J36" s="52"/>
      <c r="K36" s="52"/>
      <c r="L36" s="52"/>
      <c r="M36" s="52"/>
    </row>
    <row r="37" spans="6:14">
      <c r="F37" s="52"/>
      <c r="G37" s="52"/>
      <c r="H37" s="52"/>
      <c r="I37" s="52"/>
      <c r="J37" s="52"/>
      <c r="K37" s="52"/>
      <c r="L37" s="52"/>
      <c r="M37" s="52"/>
    </row>
    <row r="38" spans="6:14">
      <c r="F38" s="52"/>
      <c r="G38" s="52"/>
      <c r="H38" s="52"/>
      <c r="I38" s="52"/>
      <c r="J38" s="52"/>
      <c r="K38" s="52"/>
      <c r="L38" s="52"/>
      <c r="M38" s="52"/>
    </row>
    <row r="39" spans="6:14">
      <c r="F39" s="52"/>
      <c r="G39" s="52"/>
      <c r="H39" s="52"/>
      <c r="I39" s="52"/>
      <c r="J39" s="52"/>
      <c r="K39" s="52"/>
      <c r="L39" s="52"/>
      <c r="M39" s="52"/>
    </row>
    <row r="40" spans="6:14">
      <c r="F40" s="52" t="s">
        <v>28</v>
      </c>
      <c r="G40" s="52"/>
      <c r="H40" s="52"/>
      <c r="I40" s="52"/>
      <c r="J40" s="52"/>
      <c r="K40" s="52"/>
      <c r="L40" s="52"/>
      <c r="M40" s="52"/>
    </row>
    <row r="41" spans="6:14">
      <c r="F41" s="52"/>
      <c r="G41" s="52"/>
      <c r="H41" s="52"/>
      <c r="I41" s="52"/>
      <c r="J41" s="52"/>
      <c r="K41" s="52"/>
      <c r="L41" s="52"/>
      <c r="M41" s="52"/>
    </row>
    <row r="42" spans="6:14">
      <c r="F42" s="52"/>
      <c r="G42" s="52"/>
      <c r="H42" s="52"/>
      <c r="I42" s="52"/>
      <c r="J42" s="52"/>
      <c r="K42" s="52"/>
      <c r="L42" s="52"/>
      <c r="M42" s="52"/>
    </row>
    <row r="43" spans="6:14">
      <c r="F43" s="52"/>
      <c r="G43" s="52"/>
      <c r="H43" s="52"/>
      <c r="I43" s="52"/>
      <c r="J43" s="52"/>
      <c r="K43" s="52"/>
      <c r="L43" s="52"/>
      <c r="M43" s="52"/>
    </row>
    <row r="44" spans="6:14">
      <c r="F44" s="52" t="s">
        <v>29</v>
      </c>
      <c r="G44" s="52"/>
      <c r="H44" s="52"/>
      <c r="I44" s="52"/>
      <c r="J44" s="52"/>
      <c r="K44" s="52"/>
      <c r="L44" s="52"/>
      <c r="M44" s="52"/>
      <c r="N44" s="58"/>
    </row>
    <row r="45" spans="6:14">
      <c r="F45" s="52"/>
      <c r="G45" s="52"/>
      <c r="H45" s="52"/>
      <c r="I45" s="52"/>
      <c r="J45" s="52"/>
      <c r="K45" s="52"/>
      <c r="L45" s="52"/>
      <c r="M45" s="52"/>
      <c r="N45" s="58"/>
    </row>
    <row r="46" spans="6:14">
      <c r="F46" s="52"/>
      <c r="G46" s="52"/>
      <c r="H46" s="52"/>
      <c r="I46" s="52"/>
      <c r="J46" s="52"/>
      <c r="K46" s="52"/>
      <c r="L46" s="52"/>
      <c r="M46" s="52"/>
      <c r="N46" s="58"/>
    </row>
    <row r="47" spans="6:14">
      <c r="F47" s="52"/>
      <c r="G47" s="52"/>
      <c r="H47" s="52"/>
      <c r="I47" s="52"/>
      <c r="J47" s="52"/>
      <c r="K47" s="52"/>
      <c r="L47" s="52"/>
      <c r="M47" s="52"/>
      <c r="N47" s="58"/>
    </row>
    <row r="48" spans="6:14">
      <c r="F48" s="52"/>
      <c r="G48" s="52"/>
      <c r="H48" s="52"/>
      <c r="I48" s="52"/>
      <c r="J48" s="52"/>
      <c r="K48" s="52"/>
      <c r="L48" s="52"/>
      <c r="M48" s="52"/>
      <c r="N48" s="58"/>
    </row>
    <row r="49" spans="6:14">
      <c r="F49" s="52" t="s">
        <v>30</v>
      </c>
      <c r="G49" s="52"/>
      <c r="H49" s="52"/>
      <c r="I49" s="52"/>
      <c r="J49" s="52"/>
      <c r="K49" s="52"/>
      <c r="L49" s="52"/>
      <c r="M49" s="52"/>
      <c r="N49" s="58"/>
    </row>
    <row r="50" spans="6:14">
      <c r="F50" s="52"/>
      <c r="G50" s="52"/>
      <c r="H50" s="52"/>
      <c r="I50" s="52"/>
      <c r="J50" s="52"/>
      <c r="K50" s="52"/>
      <c r="L50" s="52"/>
      <c r="M50" s="52"/>
      <c r="N50" s="58"/>
    </row>
    <row r="51" spans="6:14">
      <c r="F51" s="52"/>
      <c r="G51" s="52"/>
      <c r="H51" s="52"/>
      <c r="I51" s="52"/>
      <c r="J51" s="52"/>
      <c r="K51" s="52"/>
      <c r="L51" s="52"/>
      <c r="M51" s="52"/>
      <c r="N51" s="58"/>
    </row>
    <row r="52" spans="6:14">
      <c r="F52" s="53" t="s">
        <v>31</v>
      </c>
      <c r="G52" s="53"/>
      <c r="H52" s="53"/>
      <c r="I52" s="53"/>
      <c r="J52" s="53"/>
      <c r="K52" s="53"/>
      <c r="L52" s="53"/>
      <c r="M52" s="53"/>
      <c r="N52" s="59"/>
    </row>
    <row r="53" spans="6:14">
      <c r="F53" s="53"/>
      <c r="G53" s="53"/>
      <c r="H53" s="53"/>
      <c r="I53" s="53"/>
      <c r="J53" s="53"/>
      <c r="K53" s="53"/>
      <c r="L53" s="53"/>
      <c r="M53" s="53"/>
      <c r="N53" s="59"/>
    </row>
    <row r="54" spans="6:14">
      <c r="F54" s="53"/>
      <c r="G54" s="53"/>
      <c r="H54" s="53"/>
      <c r="I54" s="53"/>
      <c r="J54" s="53"/>
      <c r="K54" s="53"/>
      <c r="L54" s="53"/>
      <c r="M54" s="53"/>
      <c r="N54" s="59"/>
    </row>
    <row r="55" spans="6:14">
      <c r="F55" s="53"/>
      <c r="G55" s="53"/>
      <c r="H55" s="53"/>
      <c r="I55" s="53"/>
      <c r="J55" s="53"/>
      <c r="K55" s="53"/>
      <c r="L55" s="53"/>
      <c r="M55" s="53"/>
      <c r="N55" s="59"/>
    </row>
    <row r="56" spans="6:14">
      <c r="F56" s="53"/>
      <c r="G56" s="53"/>
      <c r="H56" s="53"/>
      <c r="I56" s="53"/>
      <c r="J56" s="53"/>
      <c r="K56" s="53"/>
      <c r="L56" s="53"/>
      <c r="M56" s="53"/>
      <c r="N56" s="59"/>
    </row>
  </sheetData>
  <mergeCells count="14">
    <mergeCell ref="F7:M12"/>
    <mergeCell ref="F5:M6"/>
    <mergeCell ref="F13:M14"/>
    <mergeCell ref="F15:M16"/>
    <mergeCell ref="F17:M19"/>
    <mergeCell ref="F20:M25"/>
    <mergeCell ref="F26:M27"/>
    <mergeCell ref="F28:M32"/>
    <mergeCell ref="F33:M35"/>
    <mergeCell ref="F36:M39"/>
    <mergeCell ref="F40:M43"/>
    <mergeCell ref="F44:M48"/>
    <mergeCell ref="F49:M51"/>
    <mergeCell ref="F52:M56"/>
  </mergeCells>
  <pageMargins left="0.75" right="0.75" top="1" bottom="1" header="0.5" footer="0.5"/>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2:P90"/>
  <sheetViews>
    <sheetView zoomScale="55" zoomScaleNormal="55" workbookViewId="0">
      <selection activeCell="E20" sqref="E20"/>
    </sheetView>
  </sheetViews>
  <sheetFormatPr defaultColWidth="8.88888888888889" defaultRowHeight="14.4"/>
  <cols>
    <col min="1" max="1" width="54.7777777777778" style="39" customWidth="1"/>
    <col min="2" max="4" width="8.88888888888889" style="39"/>
    <col min="5" max="5" width="53.3333333333333" style="39" customWidth="1"/>
    <col min="6" max="7" width="8.88888888888889" style="39"/>
    <col min="8" max="8" width="11.5555555555556" style="39" customWidth="1"/>
    <col min="9" max="9" width="8.88888888888889" style="39"/>
    <col min="10" max="10" width="14" style="39" customWidth="1"/>
    <col min="11" max="11" width="14.2222222222222" style="39" customWidth="1"/>
    <col min="12" max="16384" width="8.88888888888889" style="39"/>
  </cols>
  <sheetData>
    <row r="2" spans="1:10">
      <c r="F2" s="8"/>
      <c r="G2" s="8"/>
      <c r="H2" s="9"/>
      <c r="I2" s="9"/>
      <c r="J2" s="9"/>
    </row>
    <row r="3" spans="1:10">
      <c r="A3" s="40" t="s">
        <v>32</v>
      </c>
      <c r="B3" s="40"/>
      <c r="C3" s="40"/>
      <c r="D3" s="40"/>
      <c r="F3" s="8"/>
      <c r="G3" s="8"/>
      <c r="H3" s="9"/>
      <c r="I3" s="9"/>
      <c r="J3" s="9"/>
    </row>
    <row r="4" spans="1:10">
      <c r="A4" s="40"/>
      <c r="B4" s="40"/>
      <c r="C4" s="40"/>
      <c r="D4" s="40"/>
      <c r="F4" s="8"/>
      <c r="G4" s="8"/>
      <c r="H4" s="9"/>
      <c r="I4" s="9"/>
      <c r="J4" s="9"/>
    </row>
    <row r="5" spans="1:10">
      <c r="F5" s="8"/>
      <c r="G5" s="8"/>
      <c r="H5" s="9"/>
      <c r="I5" s="9"/>
      <c r="J5" s="9"/>
    </row>
    <row r="6" spans="1:10">
      <c r="F6" s="8"/>
      <c r="G6" s="8"/>
      <c r="H6" s="9"/>
      <c r="I6" s="9"/>
      <c r="J6" s="9"/>
    </row>
    <row r="7" spans="1:10">
      <c r="F7" s="10"/>
      <c r="G7" s="10"/>
      <c r="H7" s="11"/>
      <c r="I7" s="10"/>
      <c r="J7" s="10"/>
    </row>
    <row r="37" ht="19.05" customHeight="1"/>
    <row r="38" ht="115.2" customHeight="1" spans="1:16">
      <c r="A38" s="5" t="s">
        <v>33</v>
      </c>
      <c r="B38" s="6" t="s">
        <v>34</v>
      </c>
      <c r="C38" s="6" t="s">
        <v>35</v>
      </c>
      <c r="D38" s="6" t="s">
        <v>36</v>
      </c>
      <c r="E38" s="6" t="s">
        <v>37</v>
      </c>
      <c r="F38" s="33" t="s">
        <v>38</v>
      </c>
      <c r="G38" s="33" t="s">
        <v>39</v>
      </c>
      <c r="H38" s="6" t="s">
        <v>40</v>
      </c>
      <c r="I38" s="6" t="s">
        <v>41</v>
      </c>
      <c r="J38" s="6" t="s">
        <v>42</v>
      </c>
      <c r="K38" s="6" t="s">
        <v>43</v>
      </c>
      <c r="L38" s="41"/>
      <c r="M38" s="41"/>
      <c r="N38" s="41"/>
      <c r="O38" s="42" t="s">
        <v>44</v>
      </c>
      <c r="P38" s="42"/>
    </row>
    <row r="39" spans="1:16">
      <c r="A39" s="7">
        <v>1</v>
      </c>
      <c r="B39" s="7">
        <v>335</v>
      </c>
      <c r="C39" s="7">
        <v>145</v>
      </c>
      <c r="D39" s="7">
        <v>500</v>
      </c>
      <c r="E39" s="7">
        <v>1340</v>
      </c>
      <c r="F39" s="7">
        <v>550</v>
      </c>
      <c r="G39" s="7">
        <v>215</v>
      </c>
      <c r="H39" s="7">
        <v>28</v>
      </c>
      <c r="I39" s="7">
        <v>780</v>
      </c>
      <c r="J39" s="7">
        <v>1.02</v>
      </c>
      <c r="K39" s="7">
        <v>96</v>
      </c>
      <c r="O39" s="42"/>
      <c r="P39" s="42"/>
    </row>
    <row r="40" spans="1:16">
      <c r="A40" s="7">
        <v>2</v>
      </c>
      <c r="B40" s="7">
        <v>336</v>
      </c>
      <c r="C40" s="7">
        <v>150</v>
      </c>
      <c r="D40" s="7">
        <v>510</v>
      </c>
      <c r="E40" s="7">
        <v>1560</v>
      </c>
      <c r="F40" s="7">
        <v>570</v>
      </c>
      <c r="G40" s="7">
        <v>234</v>
      </c>
      <c r="H40" s="7">
        <v>30</v>
      </c>
      <c r="I40" s="7">
        <v>790</v>
      </c>
      <c r="J40" s="7">
        <v>1.03</v>
      </c>
      <c r="K40" s="7">
        <v>97</v>
      </c>
      <c r="O40" s="43"/>
    </row>
    <row r="41" spans="1:16">
      <c r="A41" s="7">
        <v>3</v>
      </c>
      <c r="B41" s="7">
        <v>388</v>
      </c>
      <c r="C41" s="7">
        <v>160</v>
      </c>
      <c r="D41" s="7">
        <v>509</v>
      </c>
      <c r="E41" s="7">
        <v>1590</v>
      </c>
      <c r="F41" s="7">
        <v>580</v>
      </c>
      <c r="G41" s="7">
        <v>192</v>
      </c>
      <c r="H41" s="7">
        <v>25</v>
      </c>
      <c r="I41" s="7">
        <v>800</v>
      </c>
      <c r="J41" s="7">
        <v>1.02</v>
      </c>
      <c r="K41" s="7">
        <v>96</v>
      </c>
      <c r="O41" s="43"/>
    </row>
    <row r="42" spans="1:16">
      <c r="A42" s="7">
        <v>4</v>
      </c>
      <c r="B42" s="7">
        <v>420</v>
      </c>
      <c r="C42" s="7">
        <v>165</v>
      </c>
      <c r="D42" s="7">
        <v>515</v>
      </c>
      <c r="E42" s="7">
        <v>1680</v>
      </c>
      <c r="F42" s="7">
        <v>598</v>
      </c>
      <c r="G42" s="7">
        <v>178</v>
      </c>
      <c r="H42" s="7">
        <v>23</v>
      </c>
      <c r="I42" s="7">
        <v>820</v>
      </c>
      <c r="J42" s="7">
        <v>1.04</v>
      </c>
      <c r="K42" s="7">
        <v>93</v>
      </c>
      <c r="O42" s="43"/>
    </row>
    <row r="43" spans="1:16">
      <c r="A43" s="7">
        <v>5</v>
      </c>
      <c r="B43" s="7">
        <v>450</v>
      </c>
      <c r="C43" s="7">
        <v>165</v>
      </c>
      <c r="D43" s="7">
        <v>520</v>
      </c>
      <c r="E43" s="7">
        <v>1450</v>
      </c>
      <c r="F43" s="7">
        <v>600</v>
      </c>
      <c r="G43" s="7">
        <v>150</v>
      </c>
      <c r="H43" s="7">
        <v>20</v>
      </c>
      <c r="I43" s="7">
        <v>840</v>
      </c>
      <c r="J43" s="7">
        <v>1.03</v>
      </c>
      <c r="K43" s="7">
        <v>93</v>
      </c>
      <c r="O43" s="43"/>
    </row>
    <row r="44" spans="1:16">
      <c r="A44" s="7">
        <v>6</v>
      </c>
      <c r="B44" s="7">
        <v>450</v>
      </c>
      <c r="C44" s="7">
        <v>164</v>
      </c>
      <c r="D44" s="7">
        <v>519</v>
      </c>
      <c r="E44" s="7">
        <v>1600</v>
      </c>
      <c r="F44" s="7">
        <v>620</v>
      </c>
      <c r="G44" s="7">
        <v>170</v>
      </c>
      <c r="H44" s="7">
        <v>22</v>
      </c>
      <c r="I44" s="7">
        <v>860</v>
      </c>
      <c r="J44" s="7">
        <v>1.03</v>
      </c>
      <c r="K44" s="7">
        <v>94</v>
      </c>
      <c r="O44" s="43"/>
    </row>
    <row r="45" spans="1:16">
      <c r="A45" s="7">
        <v>7</v>
      </c>
      <c r="B45" s="7">
        <v>500</v>
      </c>
      <c r="C45" s="7">
        <v>170</v>
      </c>
      <c r="D45" s="7">
        <v>525</v>
      </c>
      <c r="E45" s="7">
        <v>1200</v>
      </c>
      <c r="F45" s="7">
        <v>690</v>
      </c>
      <c r="G45" s="7">
        <v>190</v>
      </c>
      <c r="H45" s="7">
        <v>25</v>
      </c>
      <c r="I45" s="7">
        <v>875</v>
      </c>
      <c r="J45" s="7">
        <v>1.04</v>
      </c>
      <c r="K45" s="7">
        <v>95</v>
      </c>
      <c r="O45" s="43"/>
    </row>
    <row r="46" spans="1:16">
      <c r="A46" s="7">
        <v>8</v>
      </c>
      <c r="B46" s="7">
        <v>520</v>
      </c>
      <c r="C46" s="7">
        <v>175</v>
      </c>
      <c r="D46" s="7">
        <v>526</v>
      </c>
      <c r="E46" s="7">
        <v>1280</v>
      </c>
      <c r="F46" s="7">
        <v>750</v>
      </c>
      <c r="G46" s="7">
        <v>230</v>
      </c>
      <c r="H46" s="7">
        <v>30</v>
      </c>
      <c r="I46" s="7">
        <v>880</v>
      </c>
      <c r="J46" s="7">
        <v>1.05</v>
      </c>
      <c r="K46" s="7">
        <v>95</v>
      </c>
      <c r="O46" s="43"/>
    </row>
    <row r="47" spans="1:16">
      <c r="A47" s="7">
        <v>9</v>
      </c>
      <c r="B47" s="7">
        <v>550</v>
      </c>
      <c r="C47" s="7">
        <v>180</v>
      </c>
      <c r="D47" s="7">
        <v>530</v>
      </c>
      <c r="E47" s="7">
        <v>1560</v>
      </c>
      <c r="F47" s="7">
        <v>860</v>
      </c>
      <c r="G47" s="7">
        <v>310</v>
      </c>
      <c r="H47" s="7">
        <v>40</v>
      </c>
      <c r="I47" s="7">
        <v>890</v>
      </c>
      <c r="J47" s="7">
        <v>1.07</v>
      </c>
      <c r="K47" s="7">
        <v>95</v>
      </c>
      <c r="O47" s="43"/>
    </row>
    <row r="48" spans="1:16">
      <c r="A48" s="7">
        <v>10</v>
      </c>
      <c r="B48" s="7">
        <v>600</v>
      </c>
      <c r="C48" s="7">
        <v>192</v>
      </c>
      <c r="D48" s="7">
        <v>550</v>
      </c>
      <c r="E48" s="7">
        <v>1680</v>
      </c>
      <c r="F48" s="7">
        <v>940</v>
      </c>
      <c r="G48" s="7">
        <v>340</v>
      </c>
      <c r="H48" s="7">
        <v>44</v>
      </c>
      <c r="I48" s="7">
        <v>880</v>
      </c>
      <c r="J48" s="7">
        <v>1.2</v>
      </c>
      <c r="K48" s="7">
        <v>95</v>
      </c>
      <c r="O48" s="43"/>
    </row>
    <row r="49" spans="1:15">
      <c r="A49" s="7">
        <v>11</v>
      </c>
      <c r="B49" s="7">
        <v>605</v>
      </c>
      <c r="C49" s="7">
        <v>195</v>
      </c>
      <c r="D49" s="7">
        <v>570</v>
      </c>
      <c r="E49" s="7">
        <v>1780</v>
      </c>
      <c r="F49" s="7">
        <v>950</v>
      </c>
      <c r="G49" s="7">
        <v>345</v>
      </c>
      <c r="H49" s="7">
        <v>45</v>
      </c>
      <c r="I49" s="7">
        <v>870</v>
      </c>
      <c r="J49" s="7">
        <v>1.25</v>
      </c>
      <c r="K49" s="7">
        <v>88</v>
      </c>
      <c r="O49" s="44"/>
    </row>
    <row r="50" spans="1:15">
      <c r="A50" s="7">
        <v>12</v>
      </c>
      <c r="B50" s="7">
        <v>620</v>
      </c>
      <c r="C50" s="7">
        <v>196</v>
      </c>
      <c r="D50" s="7">
        <v>560</v>
      </c>
      <c r="E50" s="7">
        <v>1890</v>
      </c>
      <c r="F50" s="7">
        <v>980</v>
      </c>
      <c r="G50" s="7">
        <v>360</v>
      </c>
      <c r="H50" s="7">
        <v>47</v>
      </c>
      <c r="I50" s="7">
        <v>850</v>
      </c>
      <c r="J50" s="7">
        <v>1.28</v>
      </c>
      <c r="K50" s="7">
        <v>85</v>
      </c>
      <c r="O50" s="44"/>
    </row>
    <row r="51" spans="1:15">
      <c r="A51" s="7">
        <v>13</v>
      </c>
      <c r="B51" s="7">
        <v>630</v>
      </c>
      <c r="C51" s="7">
        <v>199</v>
      </c>
      <c r="D51" s="7">
        <v>555</v>
      </c>
      <c r="E51" s="7">
        <v>1580</v>
      </c>
      <c r="F51" s="7">
        <v>1000</v>
      </c>
      <c r="G51" s="7">
        <v>370</v>
      </c>
      <c r="H51" s="7">
        <v>48</v>
      </c>
      <c r="I51" s="7">
        <v>890</v>
      </c>
      <c r="J51" s="7">
        <v>1.32</v>
      </c>
      <c r="K51" s="7">
        <v>72</v>
      </c>
      <c r="O51" s="44"/>
    </row>
    <row r="52" spans="1:15">
      <c r="A52" s="7">
        <v>14</v>
      </c>
      <c r="B52" s="7">
        <v>655</v>
      </c>
      <c r="C52" s="7">
        <v>200</v>
      </c>
      <c r="D52" s="7">
        <v>555</v>
      </c>
      <c r="E52" s="7">
        <v>1760</v>
      </c>
      <c r="F52" s="7">
        <v>1020</v>
      </c>
      <c r="G52" s="7">
        <v>365</v>
      </c>
      <c r="H52" s="7">
        <v>47</v>
      </c>
      <c r="I52" s="7">
        <v>920</v>
      </c>
      <c r="J52" s="7">
        <v>1.35</v>
      </c>
      <c r="K52" s="7">
        <v>68</v>
      </c>
      <c r="O52" s="44"/>
    </row>
    <row r="53" spans="1:15">
      <c r="A53" s="7">
        <v>15</v>
      </c>
      <c r="B53" s="7">
        <v>690</v>
      </c>
      <c r="C53" s="7">
        <v>200</v>
      </c>
      <c r="D53" s="7">
        <v>560</v>
      </c>
      <c r="E53" s="7">
        <v>1340</v>
      </c>
      <c r="F53" s="7">
        <v>1040</v>
      </c>
      <c r="G53" s="7">
        <v>350</v>
      </c>
      <c r="H53" s="7">
        <v>46</v>
      </c>
      <c r="I53" s="7">
        <v>945</v>
      </c>
      <c r="J53" s="7">
        <v>1.32</v>
      </c>
      <c r="K53" s="7">
        <v>66</v>
      </c>
      <c r="O53" s="44"/>
    </row>
    <row r="54" spans="1:15">
      <c r="A54" s="7">
        <v>16</v>
      </c>
      <c r="B54" s="7">
        <v>690</v>
      </c>
      <c r="C54" s="7">
        <v>205</v>
      </c>
      <c r="D54" s="7">
        <v>560</v>
      </c>
      <c r="E54" s="7">
        <v>1670</v>
      </c>
      <c r="F54" s="7">
        <v>1060</v>
      </c>
      <c r="G54" s="7">
        <v>370</v>
      </c>
      <c r="H54" s="7">
        <v>48</v>
      </c>
      <c r="I54" s="7">
        <v>955</v>
      </c>
      <c r="J54" s="7">
        <v>1.32</v>
      </c>
      <c r="K54" s="7">
        <v>62</v>
      </c>
      <c r="O54" s="44"/>
    </row>
    <row r="55" spans="1:15">
      <c r="A55" s="7">
        <v>17</v>
      </c>
      <c r="B55" s="7">
        <v>710</v>
      </c>
      <c r="C55" s="7">
        <v>210</v>
      </c>
      <c r="D55" s="7">
        <v>562</v>
      </c>
      <c r="E55" s="7">
        <v>1350</v>
      </c>
      <c r="F55" s="7">
        <v>1075</v>
      </c>
      <c r="G55" s="7">
        <v>365</v>
      </c>
      <c r="H55" s="7">
        <v>47</v>
      </c>
      <c r="I55" s="7">
        <v>968</v>
      </c>
      <c r="J55" s="7">
        <v>1.45</v>
      </c>
      <c r="K55" s="7">
        <v>60</v>
      </c>
      <c r="O55" s="44"/>
    </row>
    <row r="56" spans="1:15">
      <c r="A56" s="7">
        <v>18</v>
      </c>
      <c r="B56" s="7">
        <v>720</v>
      </c>
      <c r="C56" s="7">
        <v>220</v>
      </c>
      <c r="D56" s="7">
        <v>580</v>
      </c>
      <c r="E56" s="7">
        <v>1240</v>
      </c>
      <c r="F56" s="7">
        <v>1086</v>
      </c>
      <c r="G56" s="7">
        <v>366</v>
      </c>
      <c r="H56" s="7">
        <v>48</v>
      </c>
      <c r="I56" s="7">
        <v>985</v>
      </c>
      <c r="J56" s="7">
        <v>1.48</v>
      </c>
      <c r="K56" s="7">
        <v>60</v>
      </c>
      <c r="O56" s="44"/>
    </row>
    <row r="57" spans="1:15">
      <c r="A57" s="7">
        <v>19</v>
      </c>
      <c r="B57" s="7">
        <v>745</v>
      </c>
      <c r="C57" s="7">
        <v>230</v>
      </c>
      <c r="D57" s="7">
        <v>581</v>
      </c>
      <c r="E57" s="7">
        <v>1450</v>
      </c>
      <c r="F57" s="7">
        <v>1095</v>
      </c>
      <c r="G57" s="7">
        <v>350</v>
      </c>
      <c r="H57" s="7">
        <v>46</v>
      </c>
      <c r="I57" s="7">
        <v>990</v>
      </c>
      <c r="J57" s="7">
        <v>1.31</v>
      </c>
      <c r="K57" s="7">
        <v>70</v>
      </c>
      <c r="O57" s="44"/>
    </row>
    <row r="58" spans="1:15">
      <c r="A58" s="7">
        <v>20</v>
      </c>
      <c r="B58" s="7">
        <v>760</v>
      </c>
      <c r="C58" s="7">
        <v>240</v>
      </c>
      <c r="D58" s="7">
        <v>582</v>
      </c>
      <c r="E58" s="7">
        <v>1670</v>
      </c>
      <c r="F58" s="7">
        <v>1100</v>
      </c>
      <c r="G58" s="7">
        <v>340</v>
      </c>
      <c r="H58" s="7">
        <v>44</v>
      </c>
      <c r="I58" s="7">
        <v>1030</v>
      </c>
      <c r="J58" s="7">
        <v>1.22</v>
      </c>
      <c r="K58" s="7">
        <v>80</v>
      </c>
      <c r="O58" s="44"/>
    </row>
    <row r="59" spans="1:15">
      <c r="A59" s="7">
        <v>21</v>
      </c>
      <c r="B59" s="7">
        <v>780</v>
      </c>
      <c r="C59" s="7">
        <v>250</v>
      </c>
      <c r="D59" s="7">
        <v>585</v>
      </c>
      <c r="E59" s="7">
        <v>1280</v>
      </c>
      <c r="F59" s="7">
        <v>1150</v>
      </c>
      <c r="G59" s="7">
        <v>370</v>
      </c>
      <c r="H59" s="7">
        <v>48</v>
      </c>
      <c r="I59" s="7">
        <v>1040</v>
      </c>
      <c r="J59" s="7">
        <v>1.15</v>
      </c>
      <c r="K59" s="7">
        <v>87</v>
      </c>
      <c r="O59" s="44"/>
    </row>
    <row r="60" spans="1:15">
      <c r="A60" s="7">
        <v>22</v>
      </c>
      <c r="B60" s="7">
        <v>840</v>
      </c>
      <c r="C60" s="7">
        <v>260</v>
      </c>
      <c r="D60" s="7">
        <v>590</v>
      </c>
      <c r="E60" s="7">
        <v>1340</v>
      </c>
      <c r="F60" s="7">
        <v>1200</v>
      </c>
      <c r="G60" s="7">
        <v>360</v>
      </c>
      <c r="H60" s="7">
        <v>47</v>
      </c>
      <c r="I60" s="7">
        <v>1060</v>
      </c>
      <c r="J60" s="7">
        <v>1.11</v>
      </c>
      <c r="K60" s="7">
        <v>89</v>
      </c>
      <c r="O60" s="43"/>
    </row>
    <row r="61" spans="1:15">
      <c r="A61" s="7">
        <v>23</v>
      </c>
      <c r="B61" s="7">
        <v>845</v>
      </c>
      <c r="C61" s="7">
        <v>270</v>
      </c>
      <c r="D61" s="7">
        <v>601</v>
      </c>
      <c r="E61" s="7">
        <v>1450</v>
      </c>
      <c r="F61" s="7">
        <v>1220</v>
      </c>
      <c r="G61" s="7">
        <v>375</v>
      </c>
      <c r="H61" s="7">
        <v>49</v>
      </c>
      <c r="I61" s="7">
        <v>1080</v>
      </c>
      <c r="J61" s="7">
        <v>1.08</v>
      </c>
      <c r="K61" s="7">
        <v>89</v>
      </c>
      <c r="O61" s="43"/>
    </row>
    <row r="62" spans="1:15">
      <c r="A62" s="7">
        <v>24</v>
      </c>
      <c r="B62" s="7">
        <v>850</v>
      </c>
      <c r="C62" s="7">
        <v>275</v>
      </c>
      <c r="D62" s="7">
        <v>612</v>
      </c>
      <c r="E62" s="7">
        <v>1450</v>
      </c>
      <c r="F62" s="7">
        <v>1250</v>
      </c>
      <c r="G62" s="7">
        <v>400</v>
      </c>
      <c r="H62" s="7">
        <v>52</v>
      </c>
      <c r="I62" s="7">
        <v>1133</v>
      </c>
      <c r="J62" s="7">
        <v>1.06</v>
      </c>
      <c r="K62" s="7">
        <v>89</v>
      </c>
      <c r="O62" s="43"/>
    </row>
    <row r="63" spans="1:15">
      <c r="A63" s="7">
        <v>25</v>
      </c>
      <c r="B63" s="7">
        <v>860</v>
      </c>
      <c r="C63" s="7">
        <v>280</v>
      </c>
      <c r="D63" s="7">
        <v>610</v>
      </c>
      <c r="E63" s="7">
        <v>1670</v>
      </c>
      <c r="F63" s="7">
        <v>1500</v>
      </c>
      <c r="G63" s="7">
        <v>640</v>
      </c>
      <c r="H63" s="7">
        <v>83</v>
      </c>
      <c r="I63" s="7">
        <v>1208</v>
      </c>
      <c r="J63" s="7">
        <v>1.06</v>
      </c>
      <c r="K63" s="7">
        <v>87</v>
      </c>
      <c r="O63" s="43"/>
    </row>
    <row r="64" spans="1:15">
      <c r="A64" s="7">
        <v>26</v>
      </c>
      <c r="B64" s="7">
        <v>890</v>
      </c>
      <c r="C64" s="7">
        <v>290</v>
      </c>
      <c r="D64" s="7">
        <v>611</v>
      </c>
      <c r="E64" s="7">
        <v>1330</v>
      </c>
      <c r="F64" s="7">
        <v>1550</v>
      </c>
      <c r="G64" s="7">
        <v>660</v>
      </c>
      <c r="H64" s="7">
        <v>86</v>
      </c>
      <c r="I64" s="7">
        <v>1387</v>
      </c>
      <c r="J64" s="7">
        <v>1.05</v>
      </c>
      <c r="K64" s="7">
        <v>83</v>
      </c>
      <c r="O64" s="43"/>
    </row>
    <row r="65" spans="1:15">
      <c r="A65" s="7">
        <v>27</v>
      </c>
      <c r="B65" s="7">
        <v>940</v>
      </c>
      <c r="C65" s="7">
        <v>295</v>
      </c>
      <c r="D65" s="7">
        <v>615</v>
      </c>
      <c r="E65" s="7">
        <v>1560</v>
      </c>
      <c r="F65" s="7">
        <v>1560</v>
      </c>
      <c r="G65" s="7">
        <v>620</v>
      </c>
      <c r="H65" s="7">
        <v>81</v>
      </c>
      <c r="I65" s="7">
        <v>1450</v>
      </c>
      <c r="J65" s="7">
        <v>1.05</v>
      </c>
      <c r="K65" s="7">
        <v>88</v>
      </c>
      <c r="O65" s="43"/>
    </row>
    <row r="66" spans="1:15">
      <c r="A66" s="7">
        <v>28</v>
      </c>
      <c r="B66" s="7">
        <v>960</v>
      </c>
      <c r="C66" s="7">
        <v>300</v>
      </c>
      <c r="D66" s="7">
        <v>620</v>
      </c>
      <c r="E66" s="7">
        <v>1760</v>
      </c>
      <c r="F66" s="7">
        <v>1700</v>
      </c>
      <c r="G66" s="7">
        <v>740</v>
      </c>
      <c r="H66" s="7">
        <v>96</v>
      </c>
      <c r="I66" s="7">
        <v>1500</v>
      </c>
      <c r="J66" s="7">
        <v>1.03</v>
      </c>
      <c r="K66" s="7">
        <v>96</v>
      </c>
      <c r="O66" s="43"/>
    </row>
    <row r="67" spans="1:15">
      <c r="A67" s="7">
        <v>29</v>
      </c>
      <c r="B67" s="7">
        <v>980</v>
      </c>
      <c r="C67" s="7">
        <v>380</v>
      </c>
      <c r="D67" s="7">
        <v>621</v>
      </c>
      <c r="E67" s="7">
        <v>1650</v>
      </c>
      <c r="F67" s="7">
        <v>1728</v>
      </c>
      <c r="G67" s="7">
        <v>748</v>
      </c>
      <c r="H67" s="7">
        <v>97</v>
      </c>
      <c r="I67" s="7">
        <v>1600</v>
      </c>
      <c r="J67" s="7">
        <v>1.04</v>
      </c>
      <c r="K67" s="7">
        <v>97</v>
      </c>
      <c r="O67" s="43"/>
    </row>
    <row r="68" spans="1:15">
      <c r="A68" s="7">
        <v>30</v>
      </c>
      <c r="B68" s="7">
        <v>990</v>
      </c>
      <c r="C68" s="7">
        <v>410</v>
      </c>
      <c r="D68" s="7">
        <v>622</v>
      </c>
      <c r="E68" s="7">
        <v>1890</v>
      </c>
      <c r="F68" s="7">
        <v>1800</v>
      </c>
      <c r="G68" s="7">
        <v>810</v>
      </c>
      <c r="H68" s="7">
        <v>105</v>
      </c>
      <c r="I68" s="7">
        <v>1650</v>
      </c>
      <c r="J68" s="7">
        <v>1.05</v>
      </c>
      <c r="K68" s="7">
        <v>90</v>
      </c>
      <c r="O68" s="43"/>
    </row>
    <row r="70" spans="1:15">
      <c r="A70" s="45"/>
      <c r="B70" s="45"/>
      <c r="C70" s="45"/>
      <c r="D70" s="45"/>
      <c r="E70" s="45"/>
      <c r="F70" s="45"/>
      <c r="G70" s="45"/>
      <c r="H70" s="45"/>
      <c r="I70" s="45"/>
      <c r="J70" s="45"/>
      <c r="K70" s="45"/>
      <c r="L70" s="10"/>
    </row>
    <row r="71" spans="1:15">
      <c r="F71" s="46"/>
      <c r="G71" s="46"/>
      <c r="H71" s="46"/>
      <c r="I71" s="46"/>
      <c r="J71" s="46"/>
      <c r="K71" s="46"/>
      <c r="L71" s="10"/>
    </row>
    <row r="72" spans="1:15">
      <c r="F72" s="46"/>
      <c r="G72" s="46"/>
      <c r="H72" s="46"/>
      <c r="I72" s="46"/>
      <c r="J72" s="46"/>
      <c r="K72" s="46"/>
      <c r="L72" s="10"/>
    </row>
    <row r="73" spans="1:15">
      <c r="A73" s="28" t="s">
        <v>45</v>
      </c>
      <c r="B73" s="28"/>
      <c r="C73" s="28"/>
      <c r="D73" s="28"/>
      <c r="F73" s="46"/>
      <c r="G73" s="46"/>
      <c r="H73" s="46"/>
      <c r="I73" s="46"/>
      <c r="J73" s="46"/>
      <c r="K73" s="46"/>
      <c r="L73" s="10"/>
    </row>
    <row r="74" spans="1:15">
      <c r="A74" s="28"/>
      <c r="B74" s="28"/>
      <c r="C74" s="28"/>
      <c r="D74" s="28"/>
      <c r="F74" s="46"/>
      <c r="G74" s="46"/>
      <c r="H74" s="46"/>
      <c r="I74" s="46"/>
      <c r="J74" s="46"/>
      <c r="K74" s="46"/>
      <c r="L74" s="10"/>
    </row>
    <row r="75" spans="1:15">
      <c r="A75" s="28"/>
      <c r="B75" s="28"/>
      <c r="C75" s="28"/>
      <c r="D75" s="28"/>
      <c r="F75" s="46"/>
      <c r="G75" s="46"/>
      <c r="H75" s="46"/>
      <c r="I75" s="46"/>
      <c r="J75" s="46"/>
      <c r="K75" s="46"/>
      <c r="L75" s="10"/>
    </row>
    <row r="76" spans="1:15">
      <c r="A76" s="28"/>
      <c r="B76" s="28"/>
      <c r="C76" s="28"/>
      <c r="D76" s="28"/>
      <c r="F76" s="46"/>
      <c r="G76" s="46"/>
      <c r="H76" s="46"/>
      <c r="I76" s="46"/>
      <c r="J76" s="46"/>
      <c r="K76" s="46"/>
      <c r="L76" s="10"/>
    </row>
    <row r="77" spans="1:15">
      <c r="A77" s="28"/>
      <c r="B77" s="28"/>
      <c r="C77" s="28"/>
      <c r="D77" s="28"/>
      <c r="F77" s="46"/>
      <c r="G77" s="46"/>
      <c r="H77" s="46"/>
      <c r="I77" s="46"/>
      <c r="J77" s="46"/>
      <c r="K77" s="46"/>
      <c r="L77" s="10"/>
    </row>
    <row r="78" spans="1:15">
      <c r="A78" s="28"/>
      <c r="B78" s="28"/>
      <c r="C78" s="28"/>
      <c r="D78" s="28"/>
      <c r="F78" s="46"/>
      <c r="G78" s="46"/>
      <c r="H78" s="46"/>
      <c r="I78" s="46"/>
      <c r="J78" s="46"/>
      <c r="K78" s="46"/>
      <c r="L78" s="10"/>
    </row>
    <row r="79" spans="1:15">
      <c r="F79" s="46"/>
      <c r="G79" s="46"/>
      <c r="H79" s="46"/>
      <c r="I79" s="46"/>
      <c r="J79" s="46"/>
      <c r="K79" s="46"/>
      <c r="L79" s="10"/>
    </row>
    <row r="80" spans="1:15">
      <c r="A80" s="2"/>
      <c r="B80" s="46"/>
      <c r="C80" s="46"/>
      <c r="D80" s="46"/>
      <c r="E80" s="46"/>
      <c r="F80" s="46"/>
      <c r="G80" s="46"/>
      <c r="H80" s="46"/>
      <c r="I80" s="46"/>
      <c r="J80" s="46"/>
      <c r="K80" s="46"/>
      <c r="L80" s="10"/>
    </row>
    <row r="82" spans="1:5">
      <c r="A82" s="47" t="s">
        <v>46</v>
      </c>
      <c r="B82" s="46"/>
      <c r="C82" s="47" t="s">
        <v>47</v>
      </c>
      <c r="D82" s="46"/>
      <c r="E82" s="46"/>
    </row>
    <row r="83" spans="1:5">
      <c r="A83" s="2"/>
      <c r="B83" s="46"/>
      <c r="C83" s="46"/>
      <c r="D83" s="46"/>
      <c r="E83" s="46"/>
    </row>
    <row r="84" spans="1:5">
      <c r="A84" s="28" t="s">
        <v>48</v>
      </c>
      <c r="B84" s="28"/>
      <c r="C84" s="28"/>
      <c r="D84" s="28"/>
      <c r="E84" s="28"/>
    </row>
    <row r="85" spans="1:5">
      <c r="A85" s="28"/>
      <c r="B85" s="28"/>
      <c r="C85" s="28"/>
      <c r="D85" s="28"/>
      <c r="E85" s="28"/>
    </row>
    <row r="86" spans="1:5">
      <c r="A86" s="28"/>
      <c r="B86" s="28"/>
      <c r="C86" s="28"/>
      <c r="D86" s="28"/>
      <c r="E86" s="28"/>
    </row>
    <row r="87" spans="1:5">
      <c r="A87" s="28"/>
      <c r="B87" s="28"/>
      <c r="C87" s="28"/>
      <c r="D87" s="28"/>
      <c r="E87" s="28"/>
    </row>
    <row r="88" spans="1:5">
      <c r="A88" s="28"/>
      <c r="B88" s="28"/>
      <c r="C88" s="28"/>
      <c r="D88" s="28"/>
      <c r="E88" s="28"/>
    </row>
    <row r="89" spans="1:5">
      <c r="A89" s="28"/>
      <c r="B89" s="28"/>
      <c r="C89" s="28"/>
      <c r="D89" s="28"/>
      <c r="E89" s="28"/>
    </row>
    <row r="90" spans="1:5">
      <c r="A90" s="28"/>
      <c r="B90" s="28"/>
      <c r="C90" s="28"/>
      <c r="D90" s="28"/>
      <c r="E90" s="28"/>
    </row>
  </sheetData>
  <mergeCells count="4">
    <mergeCell ref="O38:P39"/>
    <mergeCell ref="A84:E90"/>
    <mergeCell ref="A73:D78"/>
    <mergeCell ref="A3:D4"/>
  </mergeCells>
  <pageMargins left="0.75" right="0.75" top="1" bottom="1" header="0.5" footer="0.5"/>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Q61"/>
  <sheetViews>
    <sheetView zoomScale="65" zoomScaleNormal="65" topLeftCell="A25" workbookViewId="0">
      <selection activeCell="M12" sqref="M12"/>
    </sheetView>
  </sheetViews>
  <sheetFormatPr defaultColWidth="9" defaultRowHeight="14.4"/>
  <cols>
    <col min="1" max="1" width="55.5555555555556" customWidth="1"/>
    <col min="15" max="15" width="13.5555555555556" customWidth="1"/>
  </cols>
  <sheetData>
    <row r="1" ht="144.75" spans="1:17">
      <c r="A1" s="5" t="s">
        <v>33</v>
      </c>
      <c r="B1" s="6" t="s">
        <v>34</v>
      </c>
      <c r="C1" s="6" t="s">
        <v>35</v>
      </c>
      <c r="D1" s="6" t="s">
        <v>36</v>
      </c>
      <c r="E1" s="6" t="s">
        <v>37</v>
      </c>
      <c r="F1" s="6" t="s">
        <v>40</v>
      </c>
      <c r="G1" s="33" t="s">
        <v>41</v>
      </c>
      <c r="H1" s="6" t="s">
        <v>42</v>
      </c>
      <c r="I1" s="6" t="s">
        <v>43</v>
      </c>
    </row>
    <row r="2" spans="1:17">
      <c r="A2" s="7">
        <v>1</v>
      </c>
      <c r="B2" s="7">
        <v>335</v>
      </c>
      <c r="C2" s="7">
        <v>145</v>
      </c>
      <c r="D2" s="7">
        <v>500</v>
      </c>
      <c r="E2" s="7">
        <v>1340</v>
      </c>
      <c r="F2" s="7">
        <v>28</v>
      </c>
      <c r="G2" s="7">
        <v>780</v>
      </c>
      <c r="H2" s="7">
        <v>1.02</v>
      </c>
      <c r="I2" s="7">
        <v>96</v>
      </c>
      <c r="M2" s="8"/>
      <c r="N2" s="8"/>
      <c r="O2" s="9"/>
      <c r="P2" s="9"/>
      <c r="Q2" s="9"/>
    </row>
    <row r="3" spans="1:17">
      <c r="A3" s="7">
        <v>2</v>
      </c>
      <c r="B3" s="7">
        <v>336</v>
      </c>
      <c r="C3" s="7">
        <v>150</v>
      </c>
      <c r="D3" s="7">
        <v>510</v>
      </c>
      <c r="E3" s="7">
        <v>1560</v>
      </c>
      <c r="F3" s="7">
        <v>30</v>
      </c>
      <c r="G3" s="7">
        <v>790</v>
      </c>
      <c r="H3" s="7">
        <v>1.03</v>
      </c>
      <c r="I3" s="7">
        <v>97</v>
      </c>
      <c r="M3" s="8"/>
      <c r="N3" s="8"/>
      <c r="O3" s="9"/>
      <c r="P3" s="9"/>
      <c r="Q3" s="9"/>
    </row>
    <row r="4" spans="1:17">
      <c r="A4" s="7">
        <v>3</v>
      </c>
      <c r="B4" s="7">
        <v>388</v>
      </c>
      <c r="C4" s="7">
        <v>160</v>
      </c>
      <c r="D4" s="7">
        <v>509</v>
      </c>
      <c r="E4" s="7">
        <v>1590</v>
      </c>
      <c r="F4" s="7">
        <v>25</v>
      </c>
      <c r="G4" s="7">
        <v>800</v>
      </c>
      <c r="H4" s="7">
        <v>1.02</v>
      </c>
      <c r="I4" s="7">
        <v>96</v>
      </c>
      <c r="M4" s="8"/>
      <c r="N4" s="8"/>
      <c r="O4" s="9"/>
      <c r="P4" s="9"/>
      <c r="Q4" s="9"/>
    </row>
    <row r="5" spans="1:17">
      <c r="A5" s="7">
        <v>4</v>
      </c>
      <c r="B5" s="7">
        <v>420</v>
      </c>
      <c r="C5" s="7">
        <v>165</v>
      </c>
      <c r="D5" s="7">
        <v>515</v>
      </c>
      <c r="E5" s="7">
        <v>1680</v>
      </c>
      <c r="F5" s="7">
        <v>23</v>
      </c>
      <c r="G5" s="7">
        <v>820</v>
      </c>
      <c r="H5" s="7">
        <v>1.04</v>
      </c>
      <c r="I5" s="7">
        <v>93</v>
      </c>
      <c r="M5" s="8"/>
      <c r="N5" s="8"/>
      <c r="O5" s="9"/>
      <c r="P5" s="9"/>
      <c r="Q5" s="9"/>
    </row>
    <row r="6" spans="1:17">
      <c r="A6" s="7">
        <v>5</v>
      </c>
      <c r="B6" s="7">
        <v>450</v>
      </c>
      <c r="C6" s="7">
        <v>165</v>
      </c>
      <c r="D6" s="7">
        <v>520</v>
      </c>
      <c r="E6" s="7">
        <v>1450</v>
      </c>
      <c r="F6" s="7">
        <v>20</v>
      </c>
      <c r="G6" s="7">
        <v>840</v>
      </c>
      <c r="H6" s="7">
        <v>1.03</v>
      </c>
      <c r="I6" s="7">
        <v>93</v>
      </c>
      <c r="M6" s="8"/>
      <c r="N6" s="8"/>
      <c r="O6" s="9"/>
      <c r="P6" s="9"/>
      <c r="Q6" s="9"/>
    </row>
    <row r="7" spans="1:17">
      <c r="A7" s="7">
        <v>6</v>
      </c>
      <c r="B7" s="7">
        <v>450</v>
      </c>
      <c r="C7" s="7">
        <v>164</v>
      </c>
      <c r="D7" s="7">
        <v>519</v>
      </c>
      <c r="E7" s="7">
        <v>1600</v>
      </c>
      <c r="F7" s="7">
        <v>22</v>
      </c>
      <c r="G7" s="7">
        <v>860</v>
      </c>
      <c r="H7" s="7">
        <v>1.03</v>
      </c>
      <c r="I7" s="7">
        <v>94</v>
      </c>
      <c r="M7" s="10"/>
      <c r="N7" s="10"/>
      <c r="O7" s="11"/>
      <c r="P7" s="10"/>
      <c r="Q7" s="10"/>
    </row>
    <row r="8" spans="1:17">
      <c r="A8" s="7">
        <v>7</v>
      </c>
      <c r="B8" s="7">
        <v>500</v>
      </c>
      <c r="C8" s="7">
        <v>170</v>
      </c>
      <c r="D8" s="7">
        <v>525</v>
      </c>
      <c r="E8" s="7">
        <v>1200</v>
      </c>
      <c r="F8" s="7">
        <v>25</v>
      </c>
      <c r="G8" s="7">
        <v>875</v>
      </c>
      <c r="H8" s="7">
        <v>1.04</v>
      </c>
      <c r="I8" s="7">
        <v>95</v>
      </c>
    </row>
    <row r="9" spans="1:17">
      <c r="A9" s="7">
        <v>8</v>
      </c>
      <c r="B9" s="7">
        <v>520</v>
      </c>
      <c r="C9" s="7">
        <v>175</v>
      </c>
      <c r="D9" s="7">
        <v>526</v>
      </c>
      <c r="E9" s="7">
        <v>1280</v>
      </c>
      <c r="F9" s="7">
        <v>30</v>
      </c>
      <c r="G9" s="7">
        <v>880</v>
      </c>
      <c r="H9" s="7">
        <v>1.05</v>
      </c>
      <c r="I9" s="7">
        <v>95</v>
      </c>
    </row>
    <row r="10" spans="1:17">
      <c r="A10" s="7">
        <v>9</v>
      </c>
      <c r="B10" s="7">
        <v>550</v>
      </c>
      <c r="C10" s="7">
        <v>180</v>
      </c>
      <c r="D10" s="7">
        <v>530</v>
      </c>
      <c r="E10" s="7">
        <v>1560</v>
      </c>
      <c r="F10" s="7">
        <v>40</v>
      </c>
      <c r="G10" s="7">
        <v>890</v>
      </c>
      <c r="H10" s="7">
        <v>1.07</v>
      </c>
      <c r="I10" s="7">
        <v>95</v>
      </c>
    </row>
    <row r="11" spans="1:17">
      <c r="A11" s="7">
        <v>10</v>
      </c>
      <c r="B11" s="7">
        <v>600</v>
      </c>
      <c r="C11" s="7">
        <v>192</v>
      </c>
      <c r="D11" s="7">
        <v>550</v>
      </c>
      <c r="E11" s="7">
        <v>1680</v>
      </c>
      <c r="F11" s="7">
        <v>44</v>
      </c>
      <c r="G11" s="7">
        <v>880</v>
      </c>
      <c r="H11" s="7">
        <v>1.2</v>
      </c>
      <c r="I11" s="7">
        <v>95</v>
      </c>
    </row>
    <row r="12" spans="1:17">
      <c r="A12" s="7">
        <v>11</v>
      </c>
      <c r="B12" s="7">
        <v>605</v>
      </c>
      <c r="C12" s="7">
        <v>195</v>
      </c>
      <c r="D12" s="7">
        <v>570</v>
      </c>
      <c r="E12" s="7">
        <v>1780</v>
      </c>
      <c r="F12" s="7">
        <v>45</v>
      </c>
      <c r="G12" s="7">
        <v>870</v>
      </c>
      <c r="H12" s="7">
        <v>1.25</v>
      </c>
      <c r="I12" s="7">
        <v>88</v>
      </c>
    </row>
    <row r="13" spans="1:17">
      <c r="A13" s="7">
        <v>12</v>
      </c>
      <c r="B13" s="7">
        <v>620</v>
      </c>
      <c r="C13" s="7">
        <v>196</v>
      </c>
      <c r="D13" s="7">
        <v>560</v>
      </c>
      <c r="E13" s="7">
        <v>1890</v>
      </c>
      <c r="F13" s="7">
        <v>47</v>
      </c>
      <c r="G13" s="7">
        <v>850</v>
      </c>
      <c r="H13" s="7">
        <v>1.28</v>
      </c>
      <c r="I13" s="7">
        <v>85</v>
      </c>
    </row>
    <row r="14" spans="1:17">
      <c r="A14" s="7">
        <v>13</v>
      </c>
      <c r="B14" s="7">
        <v>630</v>
      </c>
      <c r="C14" s="7">
        <v>199</v>
      </c>
      <c r="D14" s="7">
        <v>555</v>
      </c>
      <c r="E14" s="7">
        <v>1580</v>
      </c>
      <c r="F14" s="7">
        <v>48</v>
      </c>
      <c r="G14" s="7">
        <v>890</v>
      </c>
      <c r="H14" s="7">
        <v>1.32</v>
      </c>
      <c r="I14" s="7">
        <v>72</v>
      </c>
    </row>
    <row r="15" spans="1:17">
      <c r="A15" s="7">
        <v>14</v>
      </c>
      <c r="B15" s="7">
        <v>655</v>
      </c>
      <c r="C15" s="7">
        <v>200</v>
      </c>
      <c r="D15" s="7">
        <v>555</v>
      </c>
      <c r="E15" s="7">
        <v>1760</v>
      </c>
      <c r="F15" s="7">
        <v>47</v>
      </c>
      <c r="G15" s="7">
        <v>920</v>
      </c>
      <c r="H15" s="7">
        <v>1.35</v>
      </c>
      <c r="I15" s="7">
        <v>68</v>
      </c>
    </row>
    <row r="16" spans="1:17">
      <c r="A16" s="7">
        <v>15</v>
      </c>
      <c r="B16" s="7">
        <v>690</v>
      </c>
      <c r="C16" s="7">
        <v>200</v>
      </c>
      <c r="D16" s="7">
        <v>560</v>
      </c>
      <c r="E16" s="7">
        <v>1340</v>
      </c>
      <c r="F16" s="7">
        <v>46</v>
      </c>
      <c r="G16" s="7">
        <v>945</v>
      </c>
      <c r="H16" s="7">
        <v>1.32</v>
      </c>
      <c r="I16" s="7">
        <v>66</v>
      </c>
    </row>
    <row r="17" spans="1:9">
      <c r="A17" s="7">
        <v>16</v>
      </c>
      <c r="B17" s="7">
        <v>690</v>
      </c>
      <c r="C17" s="7">
        <v>205</v>
      </c>
      <c r="D17" s="7">
        <v>560</v>
      </c>
      <c r="E17" s="7">
        <v>1670</v>
      </c>
      <c r="F17" s="7">
        <v>48</v>
      </c>
      <c r="G17" s="7">
        <v>955</v>
      </c>
      <c r="H17" s="7">
        <v>1.32</v>
      </c>
      <c r="I17" s="7">
        <v>62</v>
      </c>
    </row>
    <row r="18" spans="1:9">
      <c r="A18" s="7">
        <v>17</v>
      </c>
      <c r="B18" s="7">
        <v>710</v>
      </c>
      <c r="C18" s="7">
        <v>210</v>
      </c>
      <c r="D18" s="7">
        <v>562</v>
      </c>
      <c r="E18" s="7">
        <v>1350</v>
      </c>
      <c r="F18" s="7">
        <v>47</v>
      </c>
      <c r="G18" s="7">
        <v>968</v>
      </c>
      <c r="H18" s="7">
        <v>1.45</v>
      </c>
      <c r="I18" s="7">
        <v>60</v>
      </c>
    </row>
    <row r="19" spans="1:9">
      <c r="A19" s="7">
        <v>18</v>
      </c>
      <c r="B19" s="7">
        <v>720</v>
      </c>
      <c r="C19" s="7">
        <v>220</v>
      </c>
      <c r="D19" s="7">
        <v>580</v>
      </c>
      <c r="E19" s="7">
        <v>1240</v>
      </c>
      <c r="F19" s="7">
        <v>48</v>
      </c>
      <c r="G19" s="7">
        <v>985</v>
      </c>
      <c r="H19" s="7">
        <v>1.48</v>
      </c>
      <c r="I19" s="7">
        <v>60</v>
      </c>
    </row>
    <row r="20" spans="1:9">
      <c r="A20" s="7">
        <v>19</v>
      </c>
      <c r="B20" s="7">
        <v>745</v>
      </c>
      <c r="C20" s="7">
        <v>230</v>
      </c>
      <c r="D20" s="7">
        <v>581</v>
      </c>
      <c r="E20" s="7">
        <v>1450</v>
      </c>
      <c r="F20" s="7">
        <v>46</v>
      </c>
      <c r="G20" s="7">
        <v>990</v>
      </c>
      <c r="H20" s="7">
        <v>1.31</v>
      </c>
      <c r="I20" s="7">
        <v>70</v>
      </c>
    </row>
    <row r="21" spans="1:9">
      <c r="A21" s="7">
        <v>20</v>
      </c>
      <c r="B21" s="7">
        <v>760</v>
      </c>
      <c r="C21" s="7">
        <v>240</v>
      </c>
      <c r="D21" s="7">
        <v>582</v>
      </c>
      <c r="E21" s="7">
        <v>1670</v>
      </c>
      <c r="F21" s="7">
        <v>44</v>
      </c>
      <c r="G21" s="7">
        <v>1030</v>
      </c>
      <c r="H21" s="7">
        <v>1.22</v>
      </c>
      <c r="I21" s="7">
        <v>80</v>
      </c>
    </row>
    <row r="22" spans="1:9">
      <c r="A22" s="7">
        <v>21</v>
      </c>
      <c r="B22" s="7">
        <v>780</v>
      </c>
      <c r="C22" s="7">
        <v>250</v>
      </c>
      <c r="D22" s="7">
        <v>585</v>
      </c>
      <c r="E22" s="7">
        <v>1280</v>
      </c>
      <c r="F22" s="7">
        <v>48</v>
      </c>
      <c r="G22" s="7">
        <v>1040</v>
      </c>
      <c r="H22" s="7">
        <v>1.15</v>
      </c>
      <c r="I22" s="7">
        <v>87</v>
      </c>
    </row>
    <row r="23" spans="1:9">
      <c r="A23" s="7">
        <v>22</v>
      </c>
      <c r="B23" s="7">
        <v>840</v>
      </c>
      <c r="C23" s="7">
        <v>260</v>
      </c>
      <c r="D23" s="7">
        <v>590</v>
      </c>
      <c r="E23" s="7">
        <v>1340</v>
      </c>
      <c r="F23" s="7">
        <v>47</v>
      </c>
      <c r="G23" s="7">
        <v>1060</v>
      </c>
      <c r="H23" s="7">
        <v>1.11</v>
      </c>
      <c r="I23" s="7">
        <v>89</v>
      </c>
    </row>
    <row r="24" spans="1:9">
      <c r="A24" s="7">
        <v>23</v>
      </c>
      <c r="B24" s="7">
        <v>845</v>
      </c>
      <c r="C24" s="7">
        <v>270</v>
      </c>
      <c r="D24" s="7">
        <v>601</v>
      </c>
      <c r="E24" s="7">
        <v>1450</v>
      </c>
      <c r="F24" s="7">
        <v>49</v>
      </c>
      <c r="G24" s="7">
        <v>1080</v>
      </c>
      <c r="H24" s="7">
        <v>1.08</v>
      </c>
      <c r="I24" s="7">
        <v>89</v>
      </c>
    </row>
    <row r="25" spans="1:9">
      <c r="A25" s="7">
        <v>24</v>
      </c>
      <c r="B25" s="7">
        <v>850</v>
      </c>
      <c r="C25" s="7">
        <v>275</v>
      </c>
      <c r="D25" s="7">
        <v>612</v>
      </c>
      <c r="E25" s="7">
        <v>1450</v>
      </c>
      <c r="F25" s="7">
        <v>52</v>
      </c>
      <c r="G25" s="7">
        <v>1133</v>
      </c>
      <c r="H25" s="7">
        <v>1.06</v>
      </c>
      <c r="I25" s="7">
        <v>89</v>
      </c>
    </row>
    <row r="26" spans="1:9">
      <c r="A26" s="7">
        <v>25</v>
      </c>
      <c r="B26" s="7">
        <v>860</v>
      </c>
      <c r="C26" s="7">
        <v>280</v>
      </c>
      <c r="D26" s="7">
        <v>610</v>
      </c>
      <c r="E26" s="7">
        <v>1670</v>
      </c>
      <c r="F26" s="7">
        <v>83</v>
      </c>
      <c r="G26" s="7">
        <v>1208</v>
      </c>
      <c r="H26" s="7">
        <v>1.06</v>
      </c>
      <c r="I26" s="7">
        <v>87</v>
      </c>
    </row>
    <row r="27" spans="1:9">
      <c r="A27" s="7">
        <v>26</v>
      </c>
      <c r="B27" s="7">
        <v>890</v>
      </c>
      <c r="C27" s="7">
        <v>290</v>
      </c>
      <c r="D27" s="7">
        <v>611</v>
      </c>
      <c r="E27" s="7">
        <v>1330</v>
      </c>
      <c r="F27" s="7">
        <v>86</v>
      </c>
      <c r="G27" s="7">
        <v>1387</v>
      </c>
      <c r="H27" s="7">
        <v>1.05</v>
      </c>
      <c r="I27" s="7">
        <v>83</v>
      </c>
    </row>
    <row r="28" spans="1:9">
      <c r="A28" s="7">
        <v>27</v>
      </c>
      <c r="B28" s="7">
        <v>940</v>
      </c>
      <c r="C28" s="7">
        <v>295</v>
      </c>
      <c r="D28" s="7">
        <v>615</v>
      </c>
      <c r="E28" s="7">
        <v>1560</v>
      </c>
      <c r="F28" s="7">
        <v>81</v>
      </c>
      <c r="G28" s="7">
        <v>1450</v>
      </c>
      <c r="H28" s="7">
        <v>1.05</v>
      </c>
      <c r="I28" s="7">
        <v>88</v>
      </c>
    </row>
    <row r="29" spans="1:9">
      <c r="A29" s="7">
        <v>28</v>
      </c>
      <c r="B29" s="7">
        <v>960</v>
      </c>
      <c r="C29" s="7">
        <v>300</v>
      </c>
      <c r="D29" s="7">
        <v>620</v>
      </c>
      <c r="E29" s="7">
        <v>1760</v>
      </c>
      <c r="F29" s="7">
        <v>96</v>
      </c>
      <c r="G29" s="7">
        <v>1500</v>
      </c>
      <c r="H29" s="7">
        <v>1.03</v>
      </c>
      <c r="I29" s="7">
        <v>96</v>
      </c>
    </row>
    <row r="30" spans="1:9">
      <c r="A30" s="7">
        <v>29</v>
      </c>
      <c r="B30" s="7">
        <v>980</v>
      </c>
      <c r="C30" s="7">
        <v>380</v>
      </c>
      <c r="D30" s="7">
        <v>621</v>
      </c>
      <c r="E30" s="7">
        <v>1650</v>
      </c>
      <c r="F30" s="7">
        <v>97</v>
      </c>
      <c r="G30" s="7">
        <v>1600</v>
      </c>
      <c r="H30" s="7">
        <v>1.04</v>
      </c>
      <c r="I30" s="7">
        <v>97</v>
      </c>
    </row>
    <row r="31" spans="1:9">
      <c r="A31" s="7">
        <v>30</v>
      </c>
      <c r="B31" s="7">
        <v>990</v>
      </c>
      <c r="C31" s="7">
        <v>410</v>
      </c>
      <c r="D31" s="7">
        <v>622</v>
      </c>
      <c r="E31" s="7">
        <v>1890</v>
      </c>
      <c r="F31" s="7">
        <v>105</v>
      </c>
      <c r="G31" s="7">
        <v>1650</v>
      </c>
      <c r="H31" s="7">
        <v>1.05</v>
      </c>
      <c r="I31" s="7">
        <v>90</v>
      </c>
    </row>
    <row r="32" ht="15.15"/>
    <row r="33" spans="1:9">
      <c r="A33" s="4"/>
      <c r="B33" s="4" t="s">
        <v>34</v>
      </c>
      <c r="C33" s="4" t="s">
        <v>35</v>
      </c>
      <c r="D33" s="4" t="s">
        <v>36</v>
      </c>
      <c r="E33" s="4" t="s">
        <v>37</v>
      </c>
      <c r="F33" s="4" t="s">
        <v>40</v>
      </c>
      <c r="G33" s="4" t="s">
        <v>41</v>
      </c>
      <c r="H33" s="4" t="s">
        <v>42</v>
      </c>
      <c r="I33" s="4" t="s">
        <v>43</v>
      </c>
    </row>
    <row r="34" spans="1:9">
      <c r="A34" s="2" t="s">
        <v>34</v>
      </c>
      <c r="B34" s="2">
        <v>1</v>
      </c>
      <c r="C34" s="2">
        <f t="array" ref="C34:I34">TRANSPOSE(B35:B41)</f>
        <v>0.921855144693758</v>
      </c>
      <c r="D34" s="2">
        <v>0.983720697847245</v>
      </c>
      <c r="E34" s="2">
        <v>0.13327651079711</v>
      </c>
      <c r="F34" s="2">
        <v>0.878489630131778</v>
      </c>
      <c r="G34" s="2">
        <v>0.877476188854098</v>
      </c>
      <c r="H34" s="2">
        <v>0.0859335269717821</v>
      </c>
      <c r="I34" s="2">
        <v>-0.208003633223321</v>
      </c>
    </row>
    <row r="35" spans="1:9">
      <c r="A35" s="2" t="s">
        <v>35</v>
      </c>
      <c r="B35" s="2">
        <v>0.921855144693758</v>
      </c>
      <c r="C35" s="2">
        <v>1</v>
      </c>
      <c r="D35" s="2">
        <f t="array" ref="D35:I35">TRANSPOSE(C36:C41)</f>
        <v>0.910939054645627</v>
      </c>
      <c r="E35" s="2">
        <v>0.236919946834704</v>
      </c>
      <c r="F35" s="2">
        <v>0.918628037143476</v>
      </c>
      <c r="G35" s="2">
        <v>0.957115561376143</v>
      </c>
      <c r="H35" s="2">
        <v>-0.142976794568483</v>
      </c>
      <c r="I35" s="2">
        <v>0.0215753007959865</v>
      </c>
    </row>
    <row r="36" spans="1:9">
      <c r="A36" s="2" t="s">
        <v>36</v>
      </c>
      <c r="B36" s="2">
        <v>0.983720697847245</v>
      </c>
      <c r="C36" s="2">
        <v>0.910939054645627</v>
      </c>
      <c r="D36" s="2">
        <v>1</v>
      </c>
      <c r="E36" s="2">
        <f t="array" ref="E36:I36">TRANSPOSE(D37:D41)</f>
        <v>0.166930834502891</v>
      </c>
      <c r="F36" s="2">
        <v>0.874408815712829</v>
      </c>
      <c r="G36" s="2">
        <v>0.858077392981593</v>
      </c>
      <c r="H36" s="2">
        <v>0.0723844169596546</v>
      </c>
      <c r="I36" s="2">
        <v>-0.175915406454601</v>
      </c>
    </row>
    <row r="37" spans="1:9">
      <c r="A37" s="2" t="s">
        <v>37</v>
      </c>
      <c r="B37" s="2">
        <v>0.13327651079711</v>
      </c>
      <c r="C37" s="2">
        <v>0.236919946834704</v>
      </c>
      <c r="D37" s="2">
        <v>0.166930834502891</v>
      </c>
      <c r="E37" s="2">
        <v>1</v>
      </c>
      <c r="F37" s="2">
        <f t="array" ref="F37:I37">TRANSPOSE(E38:E41)</f>
        <v>0.333906402164327</v>
      </c>
      <c r="G37" s="2">
        <v>0.218323079833099</v>
      </c>
      <c r="H37" s="2">
        <v>-0.0283968515693851</v>
      </c>
      <c r="I37" s="2">
        <v>0.1416547452213</v>
      </c>
    </row>
    <row r="38" spans="1:9">
      <c r="A38" s="2" t="s">
        <v>40</v>
      </c>
      <c r="B38" s="2">
        <v>0.878489630131778</v>
      </c>
      <c r="C38" s="2">
        <v>0.918628037143476</v>
      </c>
      <c r="D38" s="2">
        <v>0.874408815712829</v>
      </c>
      <c r="E38" s="2">
        <v>0.333906402164327</v>
      </c>
      <c r="F38" s="2">
        <v>1</v>
      </c>
      <c r="G38" s="2">
        <f t="array" ref="G38:I38">TRANSPOSE(F39:F41)</f>
        <v>0.946696543308583</v>
      </c>
      <c r="H38" s="2">
        <v>-0.0792146114737449</v>
      </c>
      <c r="I38" s="2">
        <v>-0.0311997485430988</v>
      </c>
    </row>
    <row r="39" spans="1:9">
      <c r="A39" s="2" t="s">
        <v>41</v>
      </c>
      <c r="B39" s="2">
        <v>0.877476188854098</v>
      </c>
      <c r="C39" s="2">
        <v>0.957115561376143</v>
      </c>
      <c r="D39" s="2">
        <v>0.858077392981593</v>
      </c>
      <c r="E39" s="2">
        <v>0.218323079833099</v>
      </c>
      <c r="F39" s="2">
        <v>0.946696543308583</v>
      </c>
      <c r="G39" s="2">
        <v>1</v>
      </c>
      <c r="H39" s="2">
        <f t="array" ref="H39:I39">TRANSPOSE(G40:G41)</f>
        <v>-0.244737754170008</v>
      </c>
      <c r="I39" s="2">
        <v>0.0899554008732564</v>
      </c>
    </row>
    <row r="40" spans="1:9">
      <c r="A40" s="2" t="s">
        <v>42</v>
      </c>
      <c r="B40" s="2">
        <v>0.0859335269717821</v>
      </c>
      <c r="C40" s="2">
        <v>-0.142976794568483</v>
      </c>
      <c r="D40" s="2">
        <v>0.0723844169596546</v>
      </c>
      <c r="E40" s="2">
        <v>-0.0283968515693851</v>
      </c>
      <c r="F40" s="2">
        <v>-0.0792146114737449</v>
      </c>
      <c r="G40" s="2">
        <v>-0.244737754170008</v>
      </c>
      <c r="H40" s="2">
        <v>1</v>
      </c>
      <c r="I40" s="2">
        <f>H41</f>
        <v>-0.90463924905337</v>
      </c>
    </row>
    <row r="41" ht="15.15" spans="1:9">
      <c r="A41" s="3" t="s">
        <v>43</v>
      </c>
      <c r="B41" s="3">
        <v>-0.208003633223321</v>
      </c>
      <c r="C41" s="3">
        <v>0.0215753007959865</v>
      </c>
      <c r="D41" s="3">
        <v>-0.175915406454601</v>
      </c>
      <c r="E41" s="3">
        <v>0.1416547452213</v>
      </c>
      <c r="F41" s="3">
        <v>-0.0311997485430988</v>
      </c>
      <c r="G41" s="3">
        <v>0.0899554008732564</v>
      </c>
      <c r="H41" s="3">
        <v>-0.90463924905337</v>
      </c>
      <c r="I41" s="3">
        <v>1</v>
      </c>
    </row>
    <row r="42" ht="13.8" customHeight="1"/>
    <row r="44" ht="15" customHeight="1" spans="1:9">
      <c r="A44" s="28" t="s">
        <v>49</v>
      </c>
      <c r="B44" s="28"/>
      <c r="C44" s="28"/>
      <c r="D44" s="28"/>
      <c r="E44" s="28"/>
      <c r="F44" s="28"/>
    </row>
    <row r="45" spans="1:9">
      <c r="A45" s="28"/>
      <c r="B45" s="28"/>
      <c r="C45" s="28"/>
      <c r="D45" s="28"/>
      <c r="E45" s="28"/>
      <c r="F45" s="28"/>
    </row>
    <row r="46" spans="1:9">
      <c r="A46" s="28"/>
      <c r="B46" s="28"/>
      <c r="C46" s="28"/>
      <c r="D46" s="28"/>
      <c r="E46" s="28"/>
      <c r="F46" s="28"/>
    </row>
    <row r="47" spans="1:9">
      <c r="A47" s="28"/>
      <c r="B47" s="28"/>
      <c r="C47" s="28"/>
      <c r="D47" s="28"/>
      <c r="E47" s="28"/>
      <c r="F47" s="28"/>
    </row>
    <row r="48" ht="24" customHeight="1" spans="1:9">
      <c r="A48" s="28"/>
      <c r="B48" s="28"/>
      <c r="C48" s="28"/>
      <c r="D48" s="28"/>
      <c r="E48" s="28"/>
      <c r="F48" s="28"/>
    </row>
    <row r="49" spans="1:6">
      <c r="A49" s="28"/>
      <c r="B49" s="28"/>
      <c r="C49" s="28"/>
      <c r="D49" s="28"/>
      <c r="E49" s="28"/>
      <c r="F49" s="28"/>
    </row>
    <row r="50" spans="1:6">
      <c r="A50" s="28"/>
      <c r="B50" s="28"/>
      <c r="C50" s="28"/>
      <c r="D50" s="28"/>
      <c r="E50" s="28"/>
      <c r="F50" s="28"/>
    </row>
    <row r="53" customHeight="1" spans="1:6">
      <c r="A53" s="28" t="s">
        <v>50</v>
      </c>
      <c r="B53" s="28"/>
      <c r="C53" s="28"/>
      <c r="D53" s="28"/>
      <c r="E53" s="28"/>
    </row>
    <row r="54" spans="1:6">
      <c r="A54" s="28"/>
      <c r="B54" s="28"/>
      <c r="C54" s="28"/>
      <c r="D54" s="28"/>
      <c r="E54" s="28"/>
    </row>
    <row r="55" spans="1:6">
      <c r="A55" s="28"/>
      <c r="B55" s="28"/>
      <c r="C55" s="28"/>
      <c r="D55" s="28"/>
      <c r="E55" s="28"/>
    </row>
    <row r="56" spans="1:6">
      <c r="A56" s="28"/>
      <c r="B56" s="28"/>
      <c r="C56" s="28"/>
      <c r="D56" s="28"/>
      <c r="E56" s="28"/>
    </row>
    <row r="57" spans="1:6">
      <c r="A57" s="28"/>
      <c r="B57" s="28"/>
      <c r="C57" s="28"/>
      <c r="D57" s="28"/>
      <c r="E57" s="28"/>
    </row>
    <row r="58" spans="1:6">
      <c r="A58" s="28"/>
      <c r="B58" s="28"/>
      <c r="C58" s="28"/>
      <c r="D58" s="28"/>
      <c r="E58" s="28"/>
    </row>
    <row r="59" spans="1:6">
      <c r="A59" s="28"/>
      <c r="B59" s="28"/>
      <c r="C59" s="28"/>
      <c r="D59" s="28"/>
      <c r="E59" s="28"/>
    </row>
    <row r="60" spans="1:6">
      <c r="A60" s="28"/>
      <c r="B60" s="28"/>
      <c r="C60" s="28"/>
      <c r="D60" s="28"/>
      <c r="E60" s="28"/>
    </row>
    <row r="61" spans="1:6">
      <c r="A61" s="28"/>
      <c r="B61" s="28"/>
      <c r="C61" s="28"/>
      <c r="D61" s="28"/>
      <c r="E61" s="28"/>
    </row>
  </sheetData>
  <mergeCells count="2">
    <mergeCell ref="A44:F50"/>
    <mergeCell ref="A53:E61"/>
  </mergeCells>
  <conditionalFormatting sqref="B34:I41">
    <cfRule type="cellIs" dxfId="0" priority="1" operator="notBetween">
      <formula>-0.7</formula>
      <formula>0.7</formula>
    </cfRule>
  </conditionalFormatting>
  <pageMargins left="0.7" right="0.7" top="0.75" bottom="0.75" header="0.3" footer="0.3"/>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60"/>
  <sheetViews>
    <sheetView workbookViewId="0">
      <selection activeCell="B26" sqref="B26"/>
    </sheetView>
  </sheetViews>
  <sheetFormatPr defaultColWidth="9" defaultRowHeight="14.4"/>
  <cols>
    <col min="1" max="1" width="55.5555555555556" customWidth="1"/>
    <col min="2" max="2" width="33.1111111111111" customWidth="1"/>
    <col min="3" max="3" width="21" customWidth="1"/>
    <col min="4" max="4" width="22.6666666666667" customWidth="1"/>
    <col min="5" max="5" width="12" customWidth="1"/>
  </cols>
  <sheetData>
    <row r="1" spans="1:9">
      <c r="A1" t="s">
        <v>51</v>
      </c>
    </row>
    <row r="2" ht="15.15"/>
    <row r="3" spans="1:9">
      <c r="A3" s="1" t="s">
        <v>52</v>
      </c>
      <c r="B3" s="1"/>
    </row>
    <row r="4" spans="1:9">
      <c r="A4" s="2" t="s">
        <v>53</v>
      </c>
      <c r="B4" s="2">
        <v>0.990072247858311</v>
      </c>
    </row>
    <row r="5" spans="1:9">
      <c r="A5" s="2" t="s">
        <v>54</v>
      </c>
      <c r="B5" s="2">
        <v>0.98024305597921</v>
      </c>
    </row>
    <row r="6" spans="1:9">
      <c r="A6" s="2" t="s">
        <v>55</v>
      </c>
      <c r="B6" s="2">
        <v>0.973956755608958</v>
      </c>
    </row>
    <row r="7" spans="1:9">
      <c r="A7" s="2" t="s">
        <v>56</v>
      </c>
      <c r="B7" s="2">
        <v>31.4735651609005</v>
      </c>
    </row>
    <row r="8" ht="15.15" spans="1:9">
      <c r="A8" s="3" t="s">
        <v>57</v>
      </c>
      <c r="B8" s="3">
        <v>30</v>
      </c>
    </row>
    <row r="10" ht="15.15" spans="1:9">
      <c r="A10" t="s">
        <v>58</v>
      </c>
    </row>
    <row r="11" spans="1:9">
      <c r="A11" s="4"/>
      <c r="B11" s="4" t="s">
        <v>59</v>
      </c>
      <c r="C11" s="4" t="s">
        <v>60</v>
      </c>
      <c r="D11" s="4" t="s">
        <v>61</v>
      </c>
      <c r="E11" s="4" t="s">
        <v>62</v>
      </c>
      <c r="F11" s="4" t="s">
        <v>63</v>
      </c>
    </row>
    <row r="12" spans="1:9">
      <c r="A12" s="2" t="s">
        <v>64</v>
      </c>
      <c r="B12" s="2">
        <v>7</v>
      </c>
      <c r="C12" s="2">
        <v>1081256.08998004</v>
      </c>
      <c r="D12" s="2">
        <v>154465.155711435</v>
      </c>
      <c r="E12" s="2">
        <v>155.933219579834</v>
      </c>
      <c r="F12" s="2">
        <v>2.97722396628361e-17</v>
      </c>
    </row>
    <row r="13" spans="1:9">
      <c r="A13" s="2" t="s">
        <v>65</v>
      </c>
      <c r="B13" s="2">
        <v>22</v>
      </c>
      <c r="C13" s="2">
        <v>21792.8766866239</v>
      </c>
      <c r="D13" s="2">
        <v>990.585303937448</v>
      </c>
      <c r="E13" s="2"/>
      <c r="F13" s="2"/>
    </row>
    <row r="14" ht="15.15" spans="1:9">
      <c r="A14" s="3" t="s">
        <v>66</v>
      </c>
      <c r="B14" s="3">
        <v>29</v>
      </c>
      <c r="C14" s="3">
        <v>1103048.96666667</v>
      </c>
      <c r="D14" s="3"/>
      <c r="E14" s="3"/>
      <c r="F14" s="3"/>
    </row>
    <row r="15" ht="15.15"/>
    <row r="16" spans="1:9">
      <c r="A16" s="4"/>
      <c r="B16" s="4" t="s">
        <v>67</v>
      </c>
      <c r="C16" s="4" t="s">
        <v>56</v>
      </c>
      <c r="D16" s="4" t="s">
        <v>68</v>
      </c>
      <c r="E16" s="4" t="s">
        <v>69</v>
      </c>
      <c r="F16" s="4" t="s">
        <v>70</v>
      </c>
      <c r="G16" s="4" t="s">
        <v>71</v>
      </c>
      <c r="H16" s="4" t="s">
        <v>72</v>
      </c>
      <c r="I16" s="4" t="s">
        <v>73</v>
      </c>
    </row>
    <row r="17" spans="1:9">
      <c r="A17" s="2" t="s">
        <v>74</v>
      </c>
      <c r="B17" s="2">
        <v>-1682.86142955885</v>
      </c>
      <c r="C17" s="2">
        <v>341.070528330589</v>
      </c>
      <c r="D17" s="2">
        <v>-4.93405700514735</v>
      </c>
      <c r="E17" s="2">
        <v>6.18132242435255e-5</v>
      </c>
      <c r="F17" s="2">
        <v>-2390.19841251945</v>
      </c>
      <c r="G17" s="2">
        <v>-975.524446598244</v>
      </c>
      <c r="H17" s="2">
        <v>-2390.19841251945</v>
      </c>
      <c r="I17" s="2">
        <v>-975.524446598244</v>
      </c>
    </row>
    <row r="18" spans="1:9">
      <c r="A18" s="2" t="s">
        <v>35</v>
      </c>
      <c r="B18" s="2">
        <v>0.282280778888125</v>
      </c>
      <c r="C18" s="2">
        <v>0.4086819960761</v>
      </c>
      <c r="D18" s="37">
        <v>0.690710091460849</v>
      </c>
      <c r="E18" s="37">
        <v>0.496971314412504</v>
      </c>
      <c r="F18" s="2">
        <v>-0.565273806111357</v>
      </c>
      <c r="G18" s="2">
        <v>1.12983536388761</v>
      </c>
      <c r="H18" s="2">
        <v>-0.565273806111357</v>
      </c>
      <c r="I18" s="2">
        <v>1.12983536388761</v>
      </c>
    </row>
    <row r="19" spans="1:9">
      <c r="A19" s="2" t="s">
        <v>36</v>
      </c>
      <c r="B19" s="2">
        <v>3.84395138716363</v>
      </c>
      <c r="C19" s="2">
        <v>0.446195508250425</v>
      </c>
      <c r="D19" s="2">
        <v>8.61494864042026</v>
      </c>
      <c r="E19" s="2">
        <v>1.6897054582116e-8</v>
      </c>
      <c r="F19" s="2">
        <v>2.91859853958332</v>
      </c>
      <c r="G19" s="2">
        <v>4.76930423474393</v>
      </c>
      <c r="H19" s="2">
        <v>2.91859853958332</v>
      </c>
      <c r="I19" s="2">
        <v>4.76930423474393</v>
      </c>
    </row>
    <row r="20" spans="1:9">
      <c r="A20" s="2" t="s">
        <v>37</v>
      </c>
      <c r="B20" s="2">
        <v>-0.0282839730106584</v>
      </c>
      <c r="C20" s="2">
        <v>0.037600308151828</v>
      </c>
      <c r="D20" s="2">
        <v>-0.7522271598533</v>
      </c>
      <c r="E20" s="2">
        <v>0.45988766800581</v>
      </c>
      <c r="F20" s="2">
        <v>-0.106262239431627</v>
      </c>
      <c r="G20" s="2">
        <v>0.0496942934103097</v>
      </c>
      <c r="H20" s="2">
        <v>-0.106262239431627</v>
      </c>
      <c r="I20" s="2">
        <v>0.0496942934103097</v>
      </c>
    </row>
    <row r="21" spans="1:9">
      <c r="A21" s="2" t="s">
        <v>40</v>
      </c>
      <c r="B21" s="2">
        <v>-0.867525697336913</v>
      </c>
      <c r="C21" s="2">
        <v>1.04231574227351</v>
      </c>
      <c r="D21" s="2">
        <v>-0.83230604907171</v>
      </c>
      <c r="E21" s="2">
        <v>0.414180157631773</v>
      </c>
      <c r="F21" s="2">
        <v>-3.02915624349034</v>
      </c>
      <c r="G21" s="2">
        <v>1.29410484881652</v>
      </c>
      <c r="H21" s="2">
        <v>-3.02915624349034</v>
      </c>
      <c r="I21" s="2">
        <v>1.29410484881652</v>
      </c>
    </row>
    <row r="22" spans="1:9">
      <c r="A22" s="2" t="s">
        <v>41</v>
      </c>
      <c r="B22" s="2">
        <v>0.202432262672307</v>
      </c>
      <c r="C22" s="2">
        <v>0.138034780742578</v>
      </c>
      <c r="D22" s="37">
        <v>1.46653083797644</v>
      </c>
      <c r="E22" s="37">
        <v>0.156653198126511</v>
      </c>
      <c r="F22" s="2">
        <v>-0.0838343515437636</v>
      </c>
      <c r="G22" s="2">
        <v>0.488698876888377</v>
      </c>
      <c r="H22" s="2">
        <v>-0.0838343515437636</v>
      </c>
      <c r="I22" s="2">
        <v>0.488698876888377</v>
      </c>
    </row>
    <row r="23" spans="1:9">
      <c r="A23" s="2" t="s">
        <v>42</v>
      </c>
      <c r="B23" s="2">
        <v>66.7219649019336</v>
      </c>
      <c r="C23" s="2">
        <v>123.893268506012</v>
      </c>
      <c r="D23" s="2">
        <v>0.53854390723977</v>
      </c>
      <c r="E23" s="2">
        <v>0.595609305221908</v>
      </c>
      <c r="F23" s="2">
        <v>-190.216947947287</v>
      </c>
      <c r="G23" s="2">
        <v>323.660877751154</v>
      </c>
      <c r="H23" s="2">
        <v>-190.216947947287</v>
      </c>
      <c r="I23" s="2">
        <v>323.660877751154</v>
      </c>
    </row>
    <row r="24" ht="15.15" spans="1:9">
      <c r="A24" s="3" t="s">
        <v>43</v>
      </c>
      <c r="B24" s="3">
        <v>-0.883112417200702</v>
      </c>
      <c r="C24" s="3">
        <v>1.317278391775</v>
      </c>
      <c r="D24" s="3">
        <v>-0.67040681963266</v>
      </c>
      <c r="E24" s="3">
        <v>0.509575506442561</v>
      </c>
      <c r="F24" s="3">
        <v>-3.6149805968348</v>
      </c>
      <c r="G24" s="3">
        <v>1.8487557624334</v>
      </c>
      <c r="H24" s="3">
        <v>-3.6149805968348</v>
      </c>
      <c r="I24" s="3">
        <v>1.8487557624334</v>
      </c>
    </row>
    <row r="28" spans="1:9">
      <c r="A28" t="s">
        <v>75</v>
      </c>
      <c r="F28" t="s">
        <v>76</v>
      </c>
    </row>
    <row r="29" ht="15.15"/>
    <row r="30" spans="1:9">
      <c r="A30" s="4" t="s">
        <v>77</v>
      </c>
      <c r="B30" s="4" t="s">
        <v>78</v>
      </c>
      <c r="C30" s="4" t="s">
        <v>79</v>
      </c>
      <c r="D30" s="4" t="s">
        <v>80</v>
      </c>
      <c r="F30" s="4" t="s">
        <v>81</v>
      </c>
      <c r="G30" s="4" t="s">
        <v>34</v>
      </c>
    </row>
    <row r="31" spans="1:9">
      <c r="A31" s="2">
        <v>1</v>
      </c>
      <c r="B31" s="2">
        <v>359.028510635131</v>
      </c>
      <c r="C31" s="2">
        <v>-24.0285106351309</v>
      </c>
      <c r="D31" s="2">
        <v>-0.87653360486828</v>
      </c>
      <c r="F31" s="2">
        <v>1.66666666666667</v>
      </c>
      <c r="G31" s="2">
        <v>335</v>
      </c>
    </row>
    <row r="32" spans="1:9">
      <c r="A32" s="2">
        <v>2</v>
      </c>
      <c r="B32" s="2">
        <v>392.730332802731</v>
      </c>
      <c r="C32" s="2">
        <v>-56.7303328027307</v>
      </c>
      <c r="D32" s="2">
        <v>-2.06946006234164</v>
      </c>
      <c r="F32" s="2">
        <v>5</v>
      </c>
      <c r="G32" s="2">
        <v>336</v>
      </c>
    </row>
    <row r="33" spans="1:7">
      <c r="A33" s="2">
        <v>3</v>
      </c>
      <c r="B33" s="2">
        <v>397.438513895718</v>
      </c>
      <c r="C33" s="2">
        <v>-9.43851389571751</v>
      </c>
      <c r="D33" s="2">
        <v>-0.344306592083023</v>
      </c>
      <c r="F33" s="2">
        <v>8.33333333333333</v>
      </c>
      <c r="G33" s="2">
        <v>388</v>
      </c>
    </row>
    <row r="34" spans="1:7">
      <c r="A34" s="2">
        <v>4</v>
      </c>
      <c r="B34" s="2">
        <v>429.135541739942</v>
      </c>
      <c r="C34" s="2">
        <v>-9.13554173994157</v>
      </c>
      <c r="D34" s="2">
        <v>-0.333254501509889</v>
      </c>
      <c r="F34" s="2">
        <v>11.6666666666667</v>
      </c>
      <c r="G34" s="2">
        <v>420</v>
      </c>
    </row>
    <row r="35" spans="1:7">
      <c r="A35" s="2">
        <v>5</v>
      </c>
      <c r="B35" s="2">
        <v>460.844615164649</v>
      </c>
      <c r="C35" s="2">
        <v>-10.8446151646488</v>
      </c>
      <c r="D35" s="2">
        <v>-0.395599617804901</v>
      </c>
      <c r="F35" s="2">
        <v>15</v>
      </c>
      <c r="G35" s="2">
        <v>450</v>
      </c>
    </row>
    <row r="36" spans="1:7">
      <c r="A36" s="2">
        <v>6</v>
      </c>
      <c r="B36" s="2">
        <v>453.90626848857</v>
      </c>
      <c r="C36" s="2">
        <v>-3.90626848856982</v>
      </c>
      <c r="D36" s="2">
        <v>-0.142496372407845</v>
      </c>
      <c r="F36" s="2">
        <v>18.3333333333333</v>
      </c>
      <c r="G36" s="2">
        <v>450</v>
      </c>
    </row>
    <row r="37" spans="1:7">
      <c r="A37" s="2">
        <v>7</v>
      </c>
      <c r="B37" s="2">
        <v>490.195264769036</v>
      </c>
      <c r="C37" s="2">
        <v>9.80473523096379</v>
      </c>
      <c r="D37" s="2">
        <v>0.357665943065592</v>
      </c>
      <c r="F37" s="2">
        <v>21.6666666666667</v>
      </c>
      <c r="G37" s="2">
        <v>500</v>
      </c>
    </row>
    <row r="38" spans="1:7">
      <c r="A38" s="2">
        <v>8</v>
      </c>
      <c r="B38" s="2">
        <v>490.529654685484</v>
      </c>
      <c r="C38" s="2">
        <v>29.4703453145161</v>
      </c>
      <c r="D38" s="2">
        <v>1.07504574076591</v>
      </c>
      <c r="F38" s="2">
        <v>25</v>
      </c>
      <c r="G38" s="2">
        <v>520</v>
      </c>
    </row>
    <row r="39" spans="1:7">
      <c r="A39" s="2">
        <v>9</v>
      </c>
      <c r="B39" s="2">
        <v>494.080856636987</v>
      </c>
      <c r="C39" s="2">
        <v>55.9191433630126</v>
      </c>
      <c r="D39" s="2">
        <v>2.03986876496062</v>
      </c>
      <c r="F39" s="2">
        <v>28.3333333333333</v>
      </c>
      <c r="G39" s="2">
        <v>550</v>
      </c>
    </row>
    <row r="40" spans="1:7">
      <c r="A40" s="2">
        <v>10</v>
      </c>
      <c r="B40" s="2">
        <v>574.132606986819</v>
      </c>
      <c r="C40" s="2">
        <v>25.8673930131806</v>
      </c>
      <c r="D40" s="2">
        <v>0.943614008819911</v>
      </c>
      <c r="F40" s="2">
        <v>31.6666666666667</v>
      </c>
      <c r="G40" s="2">
        <v>600</v>
      </c>
    </row>
    <row r="41" spans="1:7">
      <c r="A41" s="2">
        <v>11</v>
      </c>
      <c r="B41" s="2">
        <v>655.656116607132</v>
      </c>
      <c r="C41" s="2">
        <v>-50.6561166071318</v>
      </c>
      <c r="D41" s="2">
        <v>-1.84787934518752</v>
      </c>
      <c r="F41" s="2">
        <v>35</v>
      </c>
      <c r="G41" s="2">
        <v>605</v>
      </c>
    </row>
    <row r="42" spans="1:7">
      <c r="A42" s="2">
        <v>12</v>
      </c>
      <c r="B42" s="2">
        <v>613.254946033751</v>
      </c>
      <c r="C42" s="2">
        <v>6.74505396624897</v>
      </c>
      <c r="D42" s="2">
        <v>0.246052140219763</v>
      </c>
      <c r="F42" s="2">
        <v>38.3333333333333</v>
      </c>
      <c r="G42" s="2">
        <v>620</v>
      </c>
    </row>
    <row r="43" spans="1:7">
      <c r="A43" s="2">
        <v>13</v>
      </c>
      <c r="B43" s="2">
        <v>625.029167897143</v>
      </c>
      <c r="C43" s="2">
        <v>4.97083210285678</v>
      </c>
      <c r="D43" s="2">
        <v>0.18133048063086</v>
      </c>
      <c r="F43" s="2">
        <v>41.6666666666667</v>
      </c>
      <c r="G43" s="2">
        <v>630</v>
      </c>
    </row>
    <row r="44" spans="1:7">
      <c r="A44" s="2">
        <v>14</v>
      </c>
      <c r="B44" s="2">
        <v>632.69493572748</v>
      </c>
      <c r="C44" s="2">
        <v>22.3050642725202</v>
      </c>
      <c r="D44" s="2">
        <v>0.813664179627764</v>
      </c>
      <c r="F44" s="2">
        <v>45</v>
      </c>
      <c r="G44" s="2">
        <v>655</v>
      </c>
    </row>
    <row r="45" spans="1:7">
      <c r="A45" s="2">
        <v>15</v>
      </c>
      <c r="B45" s="2">
        <v>669.486859479263</v>
      </c>
      <c r="C45" s="2">
        <v>20.5131405207374</v>
      </c>
      <c r="D45" s="2">
        <v>0.74829677464583</v>
      </c>
      <c r="F45" s="2">
        <v>48.3333333333333</v>
      </c>
      <c r="G45" s="2">
        <v>690</v>
      </c>
    </row>
    <row r="46" spans="1:7">
      <c r="A46" s="2">
        <v>16</v>
      </c>
      <c r="B46" s="2">
        <v>665.386273181038</v>
      </c>
      <c r="C46" s="2">
        <v>24.613726818962</v>
      </c>
      <c r="D46" s="2">
        <v>0.897881646743617</v>
      </c>
      <c r="F46" s="2">
        <v>51.6666666666667</v>
      </c>
      <c r="G46" s="2">
        <v>690</v>
      </c>
    </row>
    <row r="47" spans="1:7">
      <c r="A47" s="2">
        <v>17</v>
      </c>
      <c r="B47" s="2">
        <v>697.475676596946</v>
      </c>
      <c r="C47" s="2">
        <v>12.5243234030537</v>
      </c>
      <c r="D47" s="2">
        <v>0.456873524444101</v>
      </c>
      <c r="F47" s="2">
        <v>55</v>
      </c>
      <c r="G47" s="2">
        <v>710</v>
      </c>
    </row>
    <row r="48" spans="1:7">
      <c r="A48" s="2">
        <v>18</v>
      </c>
      <c r="B48" s="2">
        <v>777.176328101095</v>
      </c>
      <c r="C48" s="2">
        <v>-57.1763281010955</v>
      </c>
      <c r="D48" s="2">
        <v>-2.08572947964204</v>
      </c>
      <c r="F48" s="2">
        <v>58.3333333333333</v>
      </c>
      <c r="G48" s="2">
        <v>720</v>
      </c>
    </row>
    <row r="49" spans="1:7">
      <c r="A49" s="2">
        <v>19</v>
      </c>
      <c r="B49" s="2">
        <v>760.476807447602</v>
      </c>
      <c r="C49" s="2">
        <v>-15.4768074476016</v>
      </c>
      <c r="D49" s="2">
        <v>-0.56457689075678</v>
      </c>
      <c r="F49" s="2">
        <v>61.6666666666667</v>
      </c>
      <c r="G49" s="2">
        <v>745</v>
      </c>
    </row>
    <row r="50" spans="1:7">
      <c r="A50" s="2">
        <v>20</v>
      </c>
      <c r="B50" s="2">
        <v>755.917333449687</v>
      </c>
      <c r="C50" s="2">
        <v>4.08266655031321</v>
      </c>
      <c r="D50" s="2">
        <v>0.148931179429369</v>
      </c>
      <c r="F50" s="2">
        <v>65</v>
      </c>
      <c r="G50" s="2">
        <v>760</v>
      </c>
    </row>
    <row r="51" spans="1:7">
      <c r="A51" s="2">
        <v>21</v>
      </c>
      <c r="B51" s="2">
        <v>769.004640248051</v>
      </c>
      <c r="C51" s="2">
        <v>10.9953597519491</v>
      </c>
      <c r="D51" s="2">
        <v>0.40109861433145</v>
      </c>
      <c r="F51" s="2">
        <v>68.3333333333333</v>
      </c>
      <c r="G51" s="2">
        <v>780</v>
      </c>
    </row>
    <row r="52" spans="1:7">
      <c r="A52" s="2">
        <v>22</v>
      </c>
      <c r="B52" s="2">
        <v>789.831234112415</v>
      </c>
      <c r="C52" s="2">
        <v>50.1687658875849</v>
      </c>
      <c r="D52" s="2">
        <v>1.83010132766799</v>
      </c>
      <c r="F52" s="2">
        <v>71.6666666666667</v>
      </c>
      <c r="G52" s="2">
        <v>840</v>
      </c>
    </row>
    <row r="53" spans="1:7">
      <c r="A53" s="2">
        <v>23</v>
      </c>
      <c r="B53" s="2">
        <v>832.138205040638</v>
      </c>
      <c r="C53" s="2">
        <v>12.8617949593618</v>
      </c>
      <c r="D53" s="2">
        <v>0.469184115153736</v>
      </c>
      <c r="F53" s="2">
        <v>75</v>
      </c>
      <c r="G53" s="2">
        <v>845</v>
      </c>
    </row>
    <row r="54" spans="1:7">
      <c r="A54" s="2">
        <v>24</v>
      </c>
      <c r="B54" s="2">
        <v>882.624967725462</v>
      </c>
      <c r="C54" s="2">
        <v>-32.6249677254616</v>
      </c>
      <c r="D54" s="2">
        <v>-1.19012289206556</v>
      </c>
      <c r="F54" s="2">
        <v>78.3333333333333</v>
      </c>
      <c r="G54" s="2">
        <v>850</v>
      </c>
    </row>
    <row r="55" spans="1:7">
      <c r="A55" s="2">
        <v>25</v>
      </c>
      <c r="B55" s="2">
        <v>860.18134270061</v>
      </c>
      <c r="C55" s="2">
        <v>-0.18134270061023</v>
      </c>
      <c r="D55" s="2">
        <v>-0.0066151820017524</v>
      </c>
      <c r="F55" s="2">
        <v>81.6666666666667</v>
      </c>
      <c r="G55" s="2">
        <v>860</v>
      </c>
    </row>
    <row r="56" spans="1:7">
      <c r="A56" s="2">
        <v>26</v>
      </c>
      <c r="B56" s="2">
        <v>912.962680646395</v>
      </c>
      <c r="C56" s="2">
        <v>-22.9626806463948</v>
      </c>
      <c r="D56" s="2">
        <v>-0.837653300700043</v>
      </c>
      <c r="F56" s="2">
        <v>85</v>
      </c>
      <c r="G56" s="2">
        <v>890</v>
      </c>
    </row>
    <row r="57" spans="1:7">
      <c r="A57" s="2">
        <v>27</v>
      </c>
      <c r="B57" s="2">
        <v>935.919875246075</v>
      </c>
      <c r="C57" s="2">
        <v>4.08012475392502</v>
      </c>
      <c r="D57" s="2">
        <v>0.148838457496461</v>
      </c>
      <c r="F57" s="2">
        <v>88.3333333333333</v>
      </c>
      <c r="G57" s="2">
        <v>940</v>
      </c>
    </row>
    <row r="58" spans="1:7">
      <c r="A58" s="2">
        <v>28</v>
      </c>
      <c r="B58" s="2">
        <v>939.603630512119</v>
      </c>
      <c r="C58" s="2">
        <v>20.3963694878812</v>
      </c>
      <c r="D58" s="2">
        <v>0.744037095969618</v>
      </c>
      <c r="F58" s="2">
        <v>91.6666666666667</v>
      </c>
      <c r="G58" s="2">
        <v>960</v>
      </c>
    </row>
    <row r="59" spans="1:7">
      <c r="A59" s="2">
        <v>29</v>
      </c>
      <c r="B59" s="2">
        <v>988.301089043218</v>
      </c>
      <c r="C59" s="2">
        <v>-8.30108904321764</v>
      </c>
      <c r="D59" s="2">
        <v>-0.302814586133607</v>
      </c>
      <c r="F59" s="2">
        <v>95</v>
      </c>
      <c r="G59" s="2">
        <v>980</v>
      </c>
    </row>
    <row r="60" ht="15.15" spans="1:7">
      <c r="A60" s="3">
        <v>30</v>
      </c>
      <c r="B60" s="3">
        <v>1003.85572439881</v>
      </c>
      <c r="C60" s="3">
        <v>-13.8557243988112</v>
      </c>
      <c r="D60" s="3">
        <v>-0.505441566469571</v>
      </c>
      <c r="F60" s="3">
        <v>98.3333333333333</v>
      </c>
      <c r="G60" s="3">
        <v>990</v>
      </c>
    </row>
  </sheetData>
  <sortState ref="G31:G60">
    <sortCondition ref="G31"/>
  </sortState>
  <pageMargins left="0.7" right="0.7" top="0.75" bottom="0.75" header="0.3" footer="0.3"/>
  <headerFooter/>
  <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Q48"/>
  <sheetViews>
    <sheetView zoomScale="72" zoomScaleNormal="72" workbookViewId="0">
      <selection activeCell="J2" sqref="J2"/>
    </sheetView>
  </sheetViews>
  <sheetFormatPr defaultColWidth="9" defaultRowHeight="14.4"/>
  <cols>
    <col min="1" max="1" width="55.5555555555556" customWidth="1"/>
    <col min="15" max="15" width="10.8888888888889" customWidth="1"/>
  </cols>
  <sheetData>
    <row r="1" ht="144.75" spans="1:17">
      <c r="A1" s="5" t="s">
        <v>33</v>
      </c>
      <c r="B1" s="6" t="s">
        <v>34</v>
      </c>
      <c r="C1" s="6" t="s">
        <v>35</v>
      </c>
      <c r="D1" s="6" t="s">
        <v>36</v>
      </c>
      <c r="E1" s="6" t="s">
        <v>37</v>
      </c>
      <c r="F1" s="31" t="s">
        <v>40</v>
      </c>
      <c r="G1" s="6" t="s">
        <v>42</v>
      </c>
      <c r="H1" s="6" t="s">
        <v>43</v>
      </c>
    </row>
    <row r="2" spans="1:17">
      <c r="A2" s="7">
        <v>1</v>
      </c>
      <c r="B2" s="7">
        <v>335</v>
      </c>
      <c r="C2" s="7">
        <v>145</v>
      </c>
      <c r="D2" s="7">
        <v>500</v>
      </c>
      <c r="E2" s="7">
        <v>1340</v>
      </c>
      <c r="F2" s="7">
        <v>28</v>
      </c>
      <c r="G2" s="7">
        <v>1.02</v>
      </c>
      <c r="H2" s="7">
        <v>96</v>
      </c>
      <c r="M2" s="8"/>
      <c r="N2" s="8"/>
      <c r="O2" s="9"/>
      <c r="P2" s="9"/>
      <c r="Q2" s="9"/>
    </row>
    <row r="3" spans="1:17">
      <c r="A3" s="7">
        <v>2</v>
      </c>
      <c r="B3" s="7">
        <v>336</v>
      </c>
      <c r="C3" s="7">
        <v>150</v>
      </c>
      <c r="D3" s="7">
        <v>510</v>
      </c>
      <c r="E3" s="7">
        <v>1560</v>
      </c>
      <c r="F3" s="7">
        <v>30</v>
      </c>
      <c r="G3" s="7">
        <v>1.03</v>
      </c>
      <c r="H3" s="7">
        <v>97</v>
      </c>
      <c r="M3" s="8"/>
      <c r="N3" s="8"/>
      <c r="O3" s="9"/>
      <c r="P3" s="9"/>
      <c r="Q3" s="9"/>
    </row>
    <row r="4" spans="1:17">
      <c r="A4" s="7">
        <v>3</v>
      </c>
      <c r="B4" s="7">
        <v>388</v>
      </c>
      <c r="C4" s="7">
        <v>160</v>
      </c>
      <c r="D4" s="7">
        <v>509</v>
      </c>
      <c r="E4" s="7">
        <v>1590</v>
      </c>
      <c r="F4" s="7">
        <v>25</v>
      </c>
      <c r="G4" s="7">
        <v>1.02</v>
      </c>
      <c r="H4" s="7">
        <v>96</v>
      </c>
      <c r="M4" s="8"/>
      <c r="N4" s="8"/>
      <c r="O4" s="9"/>
      <c r="P4" s="9"/>
      <c r="Q4" s="9"/>
    </row>
    <row r="5" spans="1:17">
      <c r="A5" s="7">
        <v>4</v>
      </c>
      <c r="B5" s="7">
        <v>420</v>
      </c>
      <c r="C5" s="7">
        <v>165</v>
      </c>
      <c r="D5" s="7">
        <v>515</v>
      </c>
      <c r="E5" s="7">
        <v>1680</v>
      </c>
      <c r="F5" s="7">
        <v>23</v>
      </c>
      <c r="G5" s="7">
        <v>1.04</v>
      </c>
      <c r="H5" s="7">
        <v>93</v>
      </c>
      <c r="M5" s="8"/>
      <c r="N5" s="8"/>
      <c r="O5" s="9"/>
      <c r="P5" s="9"/>
      <c r="Q5" s="9"/>
    </row>
    <row r="6" spans="1:17">
      <c r="A6" s="7">
        <v>5</v>
      </c>
      <c r="B6" s="7">
        <v>450</v>
      </c>
      <c r="C6" s="7">
        <v>165</v>
      </c>
      <c r="D6" s="7">
        <v>520</v>
      </c>
      <c r="E6" s="7">
        <v>1450</v>
      </c>
      <c r="F6" s="7">
        <v>20</v>
      </c>
      <c r="G6" s="7">
        <v>1.03</v>
      </c>
      <c r="H6" s="7">
        <v>93</v>
      </c>
      <c r="M6" s="8"/>
      <c r="N6" s="8"/>
      <c r="O6" s="9"/>
      <c r="P6" s="9"/>
      <c r="Q6" s="9"/>
    </row>
    <row r="7" spans="1:17">
      <c r="A7" s="7">
        <v>6</v>
      </c>
      <c r="B7" s="7">
        <v>450</v>
      </c>
      <c r="C7" s="7">
        <v>164</v>
      </c>
      <c r="D7" s="7">
        <v>519</v>
      </c>
      <c r="E7" s="7">
        <v>1600</v>
      </c>
      <c r="F7" s="7">
        <v>22</v>
      </c>
      <c r="G7" s="7">
        <v>1.03</v>
      </c>
      <c r="H7" s="7">
        <v>94</v>
      </c>
      <c r="M7" s="10"/>
      <c r="N7" s="10"/>
      <c r="O7" s="11"/>
      <c r="P7" s="10"/>
      <c r="Q7" s="10"/>
    </row>
    <row r="8" spans="1:17">
      <c r="A8" s="7">
        <v>7</v>
      </c>
      <c r="B8" s="7">
        <v>500</v>
      </c>
      <c r="C8" s="7">
        <v>170</v>
      </c>
      <c r="D8" s="7">
        <v>525</v>
      </c>
      <c r="E8" s="7">
        <v>1200</v>
      </c>
      <c r="F8" s="7">
        <v>25</v>
      </c>
      <c r="G8" s="7">
        <v>1.04</v>
      </c>
      <c r="H8" s="7">
        <v>95</v>
      </c>
    </row>
    <row r="9" spans="1:17">
      <c r="A9" s="7">
        <v>8</v>
      </c>
      <c r="B9" s="7">
        <v>520</v>
      </c>
      <c r="C9" s="7">
        <v>175</v>
      </c>
      <c r="D9" s="7">
        <v>526</v>
      </c>
      <c r="E9" s="7">
        <v>1280</v>
      </c>
      <c r="F9" s="7">
        <v>30</v>
      </c>
      <c r="G9" s="7">
        <v>1.05</v>
      </c>
      <c r="H9" s="7">
        <v>95</v>
      </c>
    </row>
    <row r="10" spans="1:17">
      <c r="A10" s="7">
        <v>9</v>
      </c>
      <c r="B10" s="7">
        <v>550</v>
      </c>
      <c r="C10" s="7">
        <v>180</v>
      </c>
      <c r="D10" s="7">
        <v>530</v>
      </c>
      <c r="E10" s="7">
        <v>1560</v>
      </c>
      <c r="F10" s="7">
        <v>40</v>
      </c>
      <c r="G10" s="7">
        <v>1.07</v>
      </c>
      <c r="H10" s="7">
        <v>95</v>
      </c>
    </row>
    <row r="11" spans="1:17">
      <c r="A11" s="7">
        <v>10</v>
      </c>
      <c r="B11" s="7">
        <v>600</v>
      </c>
      <c r="C11" s="7">
        <v>192</v>
      </c>
      <c r="D11" s="7">
        <v>550</v>
      </c>
      <c r="E11" s="7">
        <v>1680</v>
      </c>
      <c r="F11" s="7">
        <v>44</v>
      </c>
      <c r="G11" s="7">
        <v>1.2</v>
      </c>
      <c r="H11" s="7">
        <v>95</v>
      </c>
    </row>
    <row r="12" spans="1:17">
      <c r="A12" s="7">
        <v>11</v>
      </c>
      <c r="B12" s="7">
        <v>605</v>
      </c>
      <c r="C12" s="7">
        <v>195</v>
      </c>
      <c r="D12" s="7">
        <v>570</v>
      </c>
      <c r="E12" s="7">
        <v>1780</v>
      </c>
      <c r="F12" s="7">
        <v>45</v>
      </c>
      <c r="G12" s="7">
        <v>1.25</v>
      </c>
      <c r="H12" s="7">
        <v>88</v>
      </c>
    </row>
    <row r="13" spans="1:17">
      <c r="A13" s="7">
        <v>12</v>
      </c>
      <c r="B13" s="7">
        <v>620</v>
      </c>
      <c r="C13" s="7">
        <v>196</v>
      </c>
      <c r="D13" s="7">
        <v>560</v>
      </c>
      <c r="E13" s="7">
        <v>1890</v>
      </c>
      <c r="F13" s="7">
        <v>47</v>
      </c>
      <c r="G13" s="7">
        <v>1.28</v>
      </c>
      <c r="H13" s="7">
        <v>85</v>
      </c>
    </row>
    <row r="14" spans="1:17">
      <c r="A14" s="7">
        <v>13</v>
      </c>
      <c r="B14" s="7">
        <v>630</v>
      </c>
      <c r="C14" s="7">
        <v>199</v>
      </c>
      <c r="D14" s="7">
        <v>555</v>
      </c>
      <c r="E14" s="7">
        <v>1580</v>
      </c>
      <c r="F14" s="7">
        <v>48</v>
      </c>
      <c r="G14" s="7">
        <v>1.32</v>
      </c>
      <c r="H14" s="7">
        <v>72</v>
      </c>
    </row>
    <row r="15" spans="1:17">
      <c r="A15" s="7">
        <v>14</v>
      </c>
      <c r="B15" s="7">
        <v>655</v>
      </c>
      <c r="C15" s="7">
        <v>200</v>
      </c>
      <c r="D15" s="7">
        <v>555</v>
      </c>
      <c r="E15" s="7">
        <v>1760</v>
      </c>
      <c r="F15" s="7">
        <v>47</v>
      </c>
      <c r="G15" s="7">
        <v>1.35</v>
      </c>
      <c r="H15" s="7">
        <v>68</v>
      </c>
    </row>
    <row r="16" spans="1:17">
      <c r="A16" s="7">
        <v>15</v>
      </c>
      <c r="B16" s="7">
        <v>690</v>
      </c>
      <c r="C16" s="7">
        <v>200</v>
      </c>
      <c r="D16" s="7">
        <v>560</v>
      </c>
      <c r="E16" s="7">
        <v>1340</v>
      </c>
      <c r="F16" s="7">
        <v>46</v>
      </c>
      <c r="G16" s="7">
        <v>1.32</v>
      </c>
      <c r="H16" s="7">
        <v>66</v>
      </c>
    </row>
    <row r="17" spans="1:8">
      <c r="A17" s="7">
        <v>16</v>
      </c>
      <c r="B17" s="7">
        <v>690</v>
      </c>
      <c r="C17" s="7">
        <v>205</v>
      </c>
      <c r="D17" s="7">
        <v>560</v>
      </c>
      <c r="E17" s="7">
        <v>1670</v>
      </c>
      <c r="F17" s="7">
        <v>48</v>
      </c>
      <c r="G17" s="7">
        <v>1.32</v>
      </c>
      <c r="H17" s="7">
        <v>62</v>
      </c>
    </row>
    <row r="18" spans="1:8">
      <c r="A18" s="7">
        <v>17</v>
      </c>
      <c r="B18" s="7">
        <v>710</v>
      </c>
      <c r="C18" s="7">
        <v>210</v>
      </c>
      <c r="D18" s="7">
        <v>562</v>
      </c>
      <c r="E18" s="7">
        <v>1350</v>
      </c>
      <c r="F18" s="7">
        <v>47</v>
      </c>
      <c r="G18" s="7">
        <v>1.45</v>
      </c>
      <c r="H18" s="7">
        <v>60</v>
      </c>
    </row>
    <row r="19" spans="1:8">
      <c r="A19" s="7">
        <v>18</v>
      </c>
      <c r="B19" s="7">
        <v>720</v>
      </c>
      <c r="C19" s="7">
        <v>220</v>
      </c>
      <c r="D19" s="7">
        <v>580</v>
      </c>
      <c r="E19" s="7">
        <v>1240</v>
      </c>
      <c r="F19" s="7">
        <v>48</v>
      </c>
      <c r="G19" s="7">
        <v>1.48</v>
      </c>
      <c r="H19" s="7">
        <v>60</v>
      </c>
    </row>
    <row r="20" spans="1:8">
      <c r="A20" s="7">
        <v>19</v>
      </c>
      <c r="B20" s="7">
        <v>745</v>
      </c>
      <c r="C20" s="7">
        <v>230</v>
      </c>
      <c r="D20" s="7">
        <v>581</v>
      </c>
      <c r="E20" s="7">
        <v>1450</v>
      </c>
      <c r="F20" s="7">
        <v>46</v>
      </c>
      <c r="G20" s="7">
        <v>1.31</v>
      </c>
      <c r="H20" s="7">
        <v>70</v>
      </c>
    </row>
    <row r="21" spans="1:8">
      <c r="A21" s="7">
        <v>20</v>
      </c>
      <c r="B21" s="7">
        <v>760</v>
      </c>
      <c r="C21" s="7">
        <v>240</v>
      </c>
      <c r="D21" s="7">
        <v>582</v>
      </c>
      <c r="E21" s="7">
        <v>1670</v>
      </c>
      <c r="F21" s="7">
        <v>44</v>
      </c>
      <c r="G21" s="7">
        <v>1.22</v>
      </c>
      <c r="H21" s="7">
        <v>80</v>
      </c>
    </row>
    <row r="22" spans="1:8">
      <c r="A22" s="7">
        <v>21</v>
      </c>
      <c r="B22" s="7">
        <v>780</v>
      </c>
      <c r="C22" s="7">
        <v>250</v>
      </c>
      <c r="D22" s="7">
        <v>585</v>
      </c>
      <c r="E22" s="7">
        <v>1280</v>
      </c>
      <c r="F22" s="7">
        <v>48</v>
      </c>
      <c r="G22" s="7">
        <v>1.15</v>
      </c>
      <c r="H22" s="7">
        <v>87</v>
      </c>
    </row>
    <row r="23" spans="1:8">
      <c r="A23" s="7">
        <v>22</v>
      </c>
      <c r="B23" s="7">
        <v>840</v>
      </c>
      <c r="C23" s="7">
        <v>260</v>
      </c>
      <c r="D23" s="7">
        <v>590</v>
      </c>
      <c r="E23" s="7">
        <v>1340</v>
      </c>
      <c r="F23" s="7">
        <v>47</v>
      </c>
      <c r="G23" s="7">
        <v>1.11</v>
      </c>
      <c r="H23" s="7">
        <v>89</v>
      </c>
    </row>
    <row r="24" spans="1:8">
      <c r="A24" s="7">
        <v>23</v>
      </c>
      <c r="B24" s="7">
        <v>845</v>
      </c>
      <c r="C24" s="7">
        <v>270</v>
      </c>
      <c r="D24" s="7">
        <v>601</v>
      </c>
      <c r="E24" s="7">
        <v>1450</v>
      </c>
      <c r="F24" s="7">
        <v>49</v>
      </c>
      <c r="G24" s="7">
        <v>1.08</v>
      </c>
      <c r="H24" s="7">
        <v>89</v>
      </c>
    </row>
    <row r="25" spans="1:8">
      <c r="A25" s="7">
        <v>24</v>
      </c>
      <c r="B25" s="7">
        <v>850</v>
      </c>
      <c r="C25" s="7">
        <v>275</v>
      </c>
      <c r="D25" s="7">
        <v>612</v>
      </c>
      <c r="E25" s="7">
        <v>1450</v>
      </c>
      <c r="F25" s="7">
        <v>52</v>
      </c>
      <c r="G25" s="7">
        <v>1.06</v>
      </c>
      <c r="H25" s="7">
        <v>89</v>
      </c>
    </row>
    <row r="26" spans="1:8">
      <c r="A26" s="7">
        <v>25</v>
      </c>
      <c r="B26" s="7">
        <v>860</v>
      </c>
      <c r="C26" s="7">
        <v>280</v>
      </c>
      <c r="D26" s="7">
        <v>610</v>
      </c>
      <c r="E26" s="7">
        <v>1670</v>
      </c>
      <c r="F26" s="7">
        <v>83</v>
      </c>
      <c r="G26" s="7">
        <v>1.06</v>
      </c>
      <c r="H26" s="7">
        <v>87</v>
      </c>
    </row>
    <row r="27" spans="1:8">
      <c r="A27" s="7">
        <v>26</v>
      </c>
      <c r="B27" s="7">
        <v>890</v>
      </c>
      <c r="C27" s="7">
        <v>290</v>
      </c>
      <c r="D27" s="7">
        <v>611</v>
      </c>
      <c r="E27" s="7">
        <v>1330</v>
      </c>
      <c r="F27" s="7">
        <v>86</v>
      </c>
      <c r="G27" s="7">
        <v>1.05</v>
      </c>
      <c r="H27" s="7">
        <v>83</v>
      </c>
    </row>
    <row r="28" spans="1:8">
      <c r="A28" s="7">
        <v>27</v>
      </c>
      <c r="B28" s="7">
        <v>940</v>
      </c>
      <c r="C28" s="7">
        <v>295</v>
      </c>
      <c r="D28" s="7">
        <v>615</v>
      </c>
      <c r="E28" s="7">
        <v>1560</v>
      </c>
      <c r="F28" s="7">
        <v>81</v>
      </c>
      <c r="G28" s="7">
        <v>1.05</v>
      </c>
      <c r="H28" s="7">
        <v>88</v>
      </c>
    </row>
    <row r="29" spans="1:8">
      <c r="A29" s="7">
        <v>28</v>
      </c>
      <c r="B29" s="7">
        <v>960</v>
      </c>
      <c r="C29" s="7">
        <v>300</v>
      </c>
      <c r="D29" s="7">
        <v>620</v>
      </c>
      <c r="E29" s="7">
        <v>1760</v>
      </c>
      <c r="F29" s="7">
        <v>96</v>
      </c>
      <c r="G29" s="7">
        <v>1.03</v>
      </c>
      <c r="H29" s="7">
        <v>96</v>
      </c>
    </row>
    <row r="30" spans="1:8">
      <c r="A30" s="7">
        <v>29</v>
      </c>
      <c r="B30" s="7">
        <v>980</v>
      </c>
      <c r="C30" s="7">
        <v>380</v>
      </c>
      <c r="D30" s="7">
        <v>621</v>
      </c>
      <c r="E30" s="7">
        <v>1650</v>
      </c>
      <c r="F30" s="7">
        <v>97</v>
      </c>
      <c r="G30" s="7">
        <v>1.04</v>
      </c>
      <c r="H30" s="7">
        <v>97</v>
      </c>
    </row>
    <row r="31" spans="1:8">
      <c r="A31" s="7">
        <v>30</v>
      </c>
      <c r="B31" s="7">
        <v>990</v>
      </c>
      <c r="C31" s="7">
        <v>410</v>
      </c>
      <c r="D31" s="7">
        <v>622</v>
      </c>
      <c r="E31" s="7">
        <v>1890</v>
      </c>
      <c r="F31" s="7">
        <v>105</v>
      </c>
      <c r="G31" s="7">
        <v>1.05</v>
      </c>
      <c r="H31" s="7">
        <v>90</v>
      </c>
    </row>
    <row r="32" ht="15.15"/>
    <row r="33" spans="1:8">
      <c r="A33" s="4"/>
      <c r="B33" s="4" t="s">
        <v>34</v>
      </c>
      <c r="C33" s="4" t="s">
        <v>35</v>
      </c>
      <c r="D33" s="4" t="s">
        <v>36</v>
      </c>
      <c r="E33" s="4" t="s">
        <v>37</v>
      </c>
      <c r="F33" s="4" t="s">
        <v>40</v>
      </c>
      <c r="G33" s="4" t="s">
        <v>42</v>
      </c>
      <c r="H33" s="4" t="s">
        <v>43</v>
      </c>
    </row>
    <row r="34" spans="1:8">
      <c r="A34" s="2" t="s">
        <v>34</v>
      </c>
      <c r="B34" s="2">
        <v>1</v>
      </c>
      <c r="C34" s="2">
        <f t="array" ref="C34:H34">TRANSPOSE(B35:B40)</f>
        <v>0.921855144693758</v>
      </c>
      <c r="D34" s="2">
        <v>0.983720697847245</v>
      </c>
      <c r="E34" s="2">
        <v>0.13327651079711</v>
      </c>
      <c r="F34" s="2">
        <v>0.878489630131778</v>
      </c>
      <c r="G34" s="2">
        <v>0.0859335269717821</v>
      </c>
      <c r="H34" s="2">
        <v>-0.208003633223321</v>
      </c>
    </row>
    <row r="35" spans="1:8">
      <c r="A35" s="2" t="s">
        <v>35</v>
      </c>
      <c r="B35" s="2">
        <v>0.921855144693758</v>
      </c>
      <c r="C35" s="2">
        <v>1</v>
      </c>
      <c r="D35" s="2">
        <f t="array" ref="D35:H35">TRANSPOSE(C36:C40)</f>
        <v>0.910939054645627</v>
      </c>
      <c r="E35" s="2">
        <v>0.236919946834704</v>
      </c>
      <c r="F35" s="2">
        <v>0.918628037143476</v>
      </c>
      <c r="G35" s="2">
        <v>-0.142976794568483</v>
      </c>
      <c r="H35" s="2">
        <v>0.0215753007959865</v>
      </c>
    </row>
    <row r="36" spans="1:8">
      <c r="A36" s="2" t="s">
        <v>36</v>
      </c>
      <c r="B36" s="2">
        <v>0.983720697847245</v>
      </c>
      <c r="C36" s="2">
        <v>0.910939054645627</v>
      </c>
      <c r="D36" s="2">
        <v>1</v>
      </c>
      <c r="E36" s="2">
        <f t="array" ref="E36:H36">TRANSPOSE(D37:D40)</f>
        <v>0.166930834502891</v>
      </c>
      <c r="F36" s="2">
        <v>0.874408815712829</v>
      </c>
      <c r="G36" s="2">
        <v>0.0723844169596546</v>
      </c>
      <c r="H36" s="2">
        <v>-0.175915406454601</v>
      </c>
    </row>
    <row r="37" spans="1:8">
      <c r="A37" s="2" t="s">
        <v>37</v>
      </c>
      <c r="B37" s="2">
        <v>0.13327651079711</v>
      </c>
      <c r="C37" s="2">
        <v>0.236919946834704</v>
      </c>
      <c r="D37" s="2">
        <v>0.166930834502891</v>
      </c>
      <c r="E37" s="2">
        <v>1</v>
      </c>
      <c r="F37" s="2">
        <f t="array" ref="F37:H37">TRANSPOSE(E38:E40)</f>
        <v>0.333906402164327</v>
      </c>
      <c r="G37" s="2">
        <v>-0.0283968515693851</v>
      </c>
      <c r="H37" s="2">
        <v>0.1416547452213</v>
      </c>
    </row>
    <row r="38" spans="1:8">
      <c r="A38" s="2" t="s">
        <v>40</v>
      </c>
      <c r="B38" s="2">
        <v>0.878489630131778</v>
      </c>
      <c r="C38" s="2">
        <v>0.918628037143476</v>
      </c>
      <c r="D38" s="2">
        <v>0.874408815712829</v>
      </c>
      <c r="E38" s="2">
        <v>0.333906402164327</v>
      </c>
      <c r="F38" s="2">
        <v>1</v>
      </c>
      <c r="G38" s="2">
        <f t="array" ref="G38:H38">TRANSPOSE(F39:F40)</f>
        <v>-0.0792146114737449</v>
      </c>
      <c r="H38" s="2">
        <v>-0.0311997485430988</v>
      </c>
    </row>
    <row r="39" spans="1:8">
      <c r="A39" s="2" t="s">
        <v>42</v>
      </c>
      <c r="B39" s="2">
        <v>0.0859335269717821</v>
      </c>
      <c r="C39" s="2">
        <v>-0.142976794568483</v>
      </c>
      <c r="D39" s="2">
        <v>0.0723844169596546</v>
      </c>
      <c r="E39" s="2">
        <v>-0.0283968515693851</v>
      </c>
      <c r="F39" s="2">
        <v>-0.0792146114737449</v>
      </c>
      <c r="G39" s="2">
        <v>1</v>
      </c>
      <c r="H39" s="2">
        <f>G40</f>
        <v>-0.90463924905337</v>
      </c>
    </row>
    <row r="40" ht="15.15" spans="1:8">
      <c r="A40" s="3" t="s">
        <v>43</v>
      </c>
      <c r="B40" s="3">
        <v>-0.208003633223321</v>
      </c>
      <c r="C40" s="3">
        <v>0.0215753007959865</v>
      </c>
      <c r="D40" s="3">
        <v>-0.175915406454601</v>
      </c>
      <c r="E40" s="3">
        <v>0.1416547452213</v>
      </c>
      <c r="F40" s="3">
        <v>-0.0311997485430988</v>
      </c>
      <c r="G40" s="3">
        <v>-0.90463924905337</v>
      </c>
      <c r="H40" s="3">
        <v>1</v>
      </c>
    </row>
    <row r="43" customHeight="1" spans="1:8">
      <c r="A43" s="28" t="s">
        <v>82</v>
      </c>
      <c r="B43" s="28"/>
      <c r="C43" s="28"/>
      <c r="D43" s="28"/>
    </row>
    <row r="44" spans="1:8">
      <c r="A44" s="28"/>
      <c r="B44" s="28"/>
      <c r="C44" s="28"/>
      <c r="D44" s="28"/>
    </row>
    <row r="45" spans="1:8">
      <c r="A45" s="28"/>
      <c r="B45" s="28"/>
      <c r="C45" s="28"/>
      <c r="D45" s="28"/>
    </row>
    <row r="46" spans="1:8">
      <c r="A46" s="28"/>
      <c r="B46" s="28"/>
      <c r="C46" s="28"/>
      <c r="D46" s="28"/>
    </row>
    <row r="47" spans="1:8">
      <c r="A47" s="28"/>
      <c r="B47" s="28"/>
      <c r="C47" s="28"/>
      <c r="D47" s="28"/>
    </row>
    <row r="48" spans="1:8">
      <c r="A48" s="28"/>
      <c r="B48" s="28"/>
      <c r="C48" s="28"/>
      <c r="D48" s="28"/>
    </row>
  </sheetData>
  <mergeCells count="1">
    <mergeCell ref="A43:D48"/>
  </mergeCells>
  <conditionalFormatting sqref="B34:H40">
    <cfRule type="cellIs" dxfId="0" priority="1" operator="notBetween">
      <formula>-0.7</formula>
      <formula>0.7</formula>
    </cfRule>
  </conditionalFormatting>
  <pageMargins left="0.7" right="0.7" top="0.75" bottom="0.75" header="0.3" footer="0.3"/>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59"/>
  <sheetViews>
    <sheetView topLeftCell="A4" workbookViewId="0">
      <selection activeCell="B26" sqref="B26"/>
    </sheetView>
  </sheetViews>
  <sheetFormatPr defaultColWidth="9" defaultRowHeight="14.4"/>
  <cols>
    <col min="1" max="1" width="55.5555555555556" customWidth="1"/>
    <col min="2" max="2" width="33.1111111111111" customWidth="1"/>
    <col min="3" max="3" width="21" customWidth="1"/>
    <col min="4" max="4" width="22.6666666666667" customWidth="1"/>
    <col min="5" max="5" width="12" customWidth="1"/>
  </cols>
  <sheetData>
    <row r="1" spans="1:9">
      <c r="A1" t="s">
        <v>51</v>
      </c>
    </row>
    <row r="2" ht="15.15"/>
    <row r="3" spans="1:9">
      <c r="A3" s="1" t="s">
        <v>52</v>
      </c>
      <c r="B3" s="1"/>
    </row>
    <row r="4" spans="1:9">
      <c r="A4" s="2" t="s">
        <v>53</v>
      </c>
      <c r="B4" s="2">
        <v>0.989096367240617</v>
      </c>
    </row>
    <row r="5" spans="1:9">
      <c r="A5" s="2" t="s">
        <v>54</v>
      </c>
      <c r="B5" s="2">
        <v>0.978311623688586</v>
      </c>
    </row>
    <row r="6" spans="1:9">
      <c r="A6" s="2" t="s">
        <v>55</v>
      </c>
      <c r="B6" s="2">
        <v>0.972653786389956</v>
      </c>
    </row>
    <row r="7" spans="1:9">
      <c r="A7" s="2" t="s">
        <v>56</v>
      </c>
      <c r="B7" s="2">
        <v>32.2512831419716</v>
      </c>
    </row>
    <row r="8" ht="15.15" spans="1:9">
      <c r="A8" s="3" t="s">
        <v>57</v>
      </c>
      <c r="B8" s="3">
        <v>30</v>
      </c>
    </row>
    <row r="10" ht="15.15" spans="1:9">
      <c r="A10" t="s">
        <v>58</v>
      </c>
    </row>
    <row r="11" spans="1:9">
      <c r="A11" s="4"/>
      <c r="B11" s="4" t="s">
        <v>59</v>
      </c>
      <c r="C11" s="4" t="s">
        <v>60</v>
      </c>
      <c r="D11" s="4" t="s">
        <v>61</v>
      </c>
      <c r="E11" s="4" t="s">
        <v>62</v>
      </c>
      <c r="F11" s="4" t="s">
        <v>63</v>
      </c>
    </row>
    <row r="12" spans="1:9">
      <c r="A12" s="2" t="s">
        <v>64</v>
      </c>
      <c r="B12" s="2">
        <v>6</v>
      </c>
      <c r="C12" s="2">
        <v>1079125.62558768</v>
      </c>
      <c r="D12" s="2">
        <v>179854.270931281</v>
      </c>
      <c r="E12" s="2">
        <v>172.912647015408</v>
      </c>
      <c r="F12" s="2">
        <v>5.96100438514131e-18</v>
      </c>
    </row>
    <row r="13" spans="1:9">
      <c r="A13" s="2" t="s">
        <v>65</v>
      </c>
      <c r="B13" s="2">
        <v>23</v>
      </c>
      <c r="C13" s="2">
        <v>23923.3410789833</v>
      </c>
      <c r="D13" s="2">
        <v>1040.14526430362</v>
      </c>
      <c r="E13" s="2"/>
      <c r="F13" s="2"/>
    </row>
    <row r="14" ht="15.15" spans="1:9">
      <c r="A14" s="3" t="s">
        <v>66</v>
      </c>
      <c r="B14" s="3">
        <v>29</v>
      </c>
      <c r="C14" s="3">
        <v>1103048.96666667</v>
      </c>
      <c r="D14" s="3"/>
      <c r="E14" s="3"/>
      <c r="F14" s="3"/>
    </row>
    <row r="15" ht="15.15"/>
    <row r="16" spans="1:9">
      <c r="A16" s="4"/>
      <c r="B16" s="4" t="s">
        <v>67</v>
      </c>
      <c r="C16" s="4" t="s">
        <v>56</v>
      </c>
      <c r="D16" s="4" t="s">
        <v>68</v>
      </c>
      <c r="E16" s="4" t="s">
        <v>69</v>
      </c>
      <c r="F16" s="4" t="s">
        <v>70</v>
      </c>
      <c r="G16" s="4" t="s">
        <v>71</v>
      </c>
      <c r="H16" s="4" t="s">
        <v>72</v>
      </c>
      <c r="I16" s="4" t="s">
        <v>73</v>
      </c>
    </row>
    <row r="17" spans="1:9">
      <c r="A17" s="2" t="s">
        <v>74</v>
      </c>
      <c r="B17" s="2">
        <v>-1403.45744218535</v>
      </c>
      <c r="C17" s="2">
        <v>289.888135985247</v>
      </c>
      <c r="D17" s="2">
        <v>-4.84137592390734</v>
      </c>
      <c r="E17" s="2">
        <v>6.91554847734861e-5</v>
      </c>
      <c r="F17" s="2">
        <v>-2003.13674086143</v>
      </c>
      <c r="G17" s="2">
        <v>-803.778143509279</v>
      </c>
      <c r="H17" s="2">
        <v>-2003.13674086143</v>
      </c>
      <c r="I17" s="2">
        <v>-803.778143509279</v>
      </c>
    </row>
    <row r="18" spans="1:9">
      <c r="A18" s="2" t="s">
        <v>35</v>
      </c>
      <c r="B18" s="2">
        <v>0.681202176147658</v>
      </c>
      <c r="C18" s="2">
        <v>0.312541139768778</v>
      </c>
      <c r="D18" s="37">
        <v>2.17956003056628</v>
      </c>
      <c r="E18" s="37">
        <v>0.0397836944714718</v>
      </c>
      <c r="F18" s="2">
        <v>0.0346615687959326</v>
      </c>
      <c r="G18" s="2">
        <v>1.32774278349938</v>
      </c>
      <c r="H18" s="2">
        <v>0.0346615687959326</v>
      </c>
      <c r="I18" s="2">
        <v>1.32774278349938</v>
      </c>
    </row>
    <row r="19" spans="1:9">
      <c r="A19" s="2" t="s">
        <v>36</v>
      </c>
      <c r="B19" s="2">
        <v>3.74453111215421</v>
      </c>
      <c r="C19" s="2">
        <v>0.45191295492846</v>
      </c>
      <c r="D19" s="2">
        <v>8.2859565571582</v>
      </c>
      <c r="E19" s="2">
        <v>2.33564781742307e-8</v>
      </c>
      <c r="F19" s="2">
        <v>2.80967793869449</v>
      </c>
      <c r="G19" s="2">
        <v>4.67938428561393</v>
      </c>
      <c r="H19" s="2">
        <v>2.80967793869449</v>
      </c>
      <c r="I19" s="2">
        <v>4.67938428561393</v>
      </c>
    </row>
    <row r="20" spans="1:9">
      <c r="A20" s="2" t="s">
        <v>37</v>
      </c>
      <c r="B20" s="2">
        <v>-0.0437010546510438</v>
      </c>
      <c r="C20" s="2">
        <v>0.0369928611279066</v>
      </c>
      <c r="D20" s="2">
        <v>-1.18133751536392</v>
      </c>
      <c r="E20" s="2">
        <v>0.249540249814866</v>
      </c>
      <c r="F20" s="2">
        <v>-0.120226618354463</v>
      </c>
      <c r="G20" s="2">
        <v>0.0328245090523751</v>
      </c>
      <c r="H20" s="2">
        <v>-0.120226618354463</v>
      </c>
      <c r="I20" s="2">
        <v>0.0328245090523751</v>
      </c>
    </row>
    <row r="21" spans="1:9">
      <c r="A21" s="2" t="s">
        <v>40</v>
      </c>
      <c r="B21" s="2">
        <v>0.268089972525053</v>
      </c>
      <c r="C21" s="2">
        <v>0.71494835071022</v>
      </c>
      <c r="D21" s="37">
        <v>0.374978097730746</v>
      </c>
      <c r="E21" s="37">
        <v>0.711112307271061</v>
      </c>
      <c r="F21" s="2">
        <v>-1.21089337422819</v>
      </c>
      <c r="G21" s="2">
        <v>1.7470733192783</v>
      </c>
      <c r="H21" s="2">
        <v>-1.21089337422819</v>
      </c>
      <c r="I21" s="2">
        <v>1.7470733192783</v>
      </c>
    </row>
    <row r="22" spans="1:9">
      <c r="A22" s="2" t="s">
        <v>42</v>
      </c>
      <c r="B22" s="2">
        <v>-15.6560433082752</v>
      </c>
      <c r="C22" s="2">
        <v>113.156244299413</v>
      </c>
      <c r="D22" s="2">
        <v>-0.13835774954539</v>
      </c>
      <c r="E22" s="2">
        <v>0.891161919057554</v>
      </c>
      <c r="F22" s="2">
        <v>-249.737569244694</v>
      </c>
      <c r="G22" s="2">
        <v>218.425482628143</v>
      </c>
      <c r="H22" s="2">
        <v>-249.737569244694</v>
      </c>
      <c r="I22" s="2">
        <v>218.425482628143</v>
      </c>
    </row>
    <row r="23" ht="15.15" spans="1:9">
      <c r="A23" s="3" t="s">
        <v>43</v>
      </c>
      <c r="B23" s="3">
        <v>-1.38574296455693</v>
      </c>
      <c r="C23" s="3">
        <v>1.30333932876634</v>
      </c>
      <c r="D23" s="3">
        <v>-1.06322500516315</v>
      </c>
      <c r="E23" s="3">
        <v>0.298716190498301</v>
      </c>
      <c r="F23" s="3">
        <v>-4.08190578596787</v>
      </c>
      <c r="G23" s="3">
        <v>1.31041985685401</v>
      </c>
      <c r="H23" s="3">
        <v>-4.08190578596787</v>
      </c>
      <c r="I23" s="3">
        <v>1.31041985685401</v>
      </c>
    </row>
    <row r="27" spans="1:9">
      <c r="A27" t="s">
        <v>75</v>
      </c>
      <c r="F27" t="s">
        <v>76</v>
      </c>
    </row>
    <row r="28" ht="15.15"/>
    <row r="29" spans="1:9">
      <c r="A29" s="4" t="s">
        <v>77</v>
      </c>
      <c r="B29" s="4" t="s">
        <v>78</v>
      </c>
      <c r="C29" s="4" t="s">
        <v>79</v>
      </c>
      <c r="D29" s="4" t="s">
        <v>80</v>
      </c>
      <c r="F29" s="4" t="s">
        <v>81</v>
      </c>
      <c r="G29" s="4" t="s">
        <v>34</v>
      </c>
    </row>
    <row r="30" spans="1:9">
      <c r="A30" s="2">
        <v>1</v>
      </c>
      <c r="B30" s="2">
        <v>367.529046659562</v>
      </c>
      <c r="C30" s="2">
        <v>-32.5290466595624</v>
      </c>
      <c r="D30" s="2">
        <v>-1.13255530405623</v>
      </c>
      <c r="F30" s="2">
        <v>1.66666666666667</v>
      </c>
      <c r="G30" s="2">
        <v>335</v>
      </c>
    </row>
    <row r="31" spans="1:9">
      <c r="A31" s="2">
        <v>2</v>
      </c>
      <c r="B31" s="2">
        <v>397.760013186024</v>
      </c>
      <c r="C31" s="2">
        <v>-61.7600131860238</v>
      </c>
      <c r="D31" s="2">
        <v>-2.15028221529056</v>
      </c>
      <c r="F31" s="2">
        <v>5</v>
      </c>
      <c r="G31" s="2">
        <v>336</v>
      </c>
    </row>
    <row r="32" spans="1:9">
      <c r="A32" s="2">
        <v>3</v>
      </c>
      <c r="B32" s="2">
        <v>399.718325730829</v>
      </c>
      <c r="C32" s="2">
        <v>-11.7183257308288</v>
      </c>
      <c r="D32" s="2">
        <v>-0.407993880054501</v>
      </c>
      <c r="F32" s="2">
        <v>8.33333333333333</v>
      </c>
      <c r="G32" s="2">
        <v>388</v>
      </c>
    </row>
    <row r="33" spans="1:7">
      <c r="A33" s="2">
        <v>4</v>
      </c>
      <c r="B33" s="2">
        <v>424.966356448354</v>
      </c>
      <c r="C33" s="2">
        <v>-4.96635644835408</v>
      </c>
      <c r="D33" s="2">
        <v>-0.172912332669417</v>
      </c>
      <c r="F33" s="2">
        <v>11.6666666666667</v>
      </c>
      <c r="G33" s="2">
        <v>420</v>
      </c>
    </row>
    <row r="34" spans="1:7">
      <c r="A34" s="2">
        <v>5</v>
      </c>
      <c r="B34" s="2">
        <v>453.092545094373</v>
      </c>
      <c r="C34" s="2">
        <v>-3.09254509437267</v>
      </c>
      <c r="D34" s="2">
        <v>-0.107672333171044</v>
      </c>
      <c r="F34" s="2">
        <v>15</v>
      </c>
      <c r="G34" s="2">
        <v>450</v>
      </c>
    </row>
    <row r="35" spans="1:7">
      <c r="A35" s="2">
        <v>6</v>
      </c>
      <c r="B35" s="2">
        <v>441.262090588907</v>
      </c>
      <c r="C35" s="2">
        <v>8.73790941109257</v>
      </c>
      <c r="D35" s="2">
        <v>0.304225505083672</v>
      </c>
      <c r="F35" s="2">
        <v>18.3333333333333</v>
      </c>
      <c r="G35" s="2">
        <v>450</v>
      </c>
    </row>
    <row r="36" spans="1:7">
      <c r="A36" s="2">
        <v>7</v>
      </c>
      <c r="B36" s="2">
        <v>484.558878699072</v>
      </c>
      <c r="C36" s="2">
        <v>15.4411213009284</v>
      </c>
      <c r="D36" s="2">
        <v>0.537609479090014</v>
      </c>
      <c r="F36" s="2">
        <v>21.6666666666667</v>
      </c>
      <c r="G36" s="2">
        <v>500</v>
      </c>
    </row>
    <row r="37" spans="1:7">
      <c r="A37" s="2">
        <v>8</v>
      </c>
      <c r="B37" s="2">
        <v>489.397225749423</v>
      </c>
      <c r="C37" s="2">
        <v>30.6027742505771</v>
      </c>
      <c r="D37" s="2">
        <v>1.06548878173587</v>
      </c>
      <c r="F37" s="2">
        <v>25</v>
      </c>
      <c r="G37" s="2">
        <v>520</v>
      </c>
    </row>
    <row r="38" spans="1:7">
      <c r="A38" s="2">
        <v>9</v>
      </c>
      <c r="B38" s="2">
        <v>497.912844635571</v>
      </c>
      <c r="C38" s="2">
        <v>52.0871553644289</v>
      </c>
      <c r="D38" s="2">
        <v>1.81350485609277</v>
      </c>
      <c r="F38" s="2">
        <v>28.3333333333333</v>
      </c>
      <c r="G38" s="2">
        <v>550</v>
      </c>
    </row>
    <row r="39" spans="1:7">
      <c r="A39" s="2">
        <v>10</v>
      </c>
      <c r="B39" s="2">
        <v>574.770840694327</v>
      </c>
      <c r="C39" s="2">
        <v>25.2291593056733</v>
      </c>
      <c r="D39" s="2">
        <v>0.878397036579621</v>
      </c>
      <c r="F39" s="2">
        <v>31.6666666666667</v>
      </c>
      <c r="G39" s="2">
        <v>600</v>
      </c>
    </row>
    <row r="40" spans="1:7">
      <c r="A40" s="2">
        <v>11</v>
      </c>
      <c r="B40" s="2">
        <v>656.520452559759</v>
      </c>
      <c r="C40" s="2">
        <v>-51.5204525597592</v>
      </c>
      <c r="D40" s="2">
        <v>-1.79377411285983</v>
      </c>
      <c r="F40" s="2">
        <v>35</v>
      </c>
      <c r="G40" s="2">
        <v>605</v>
      </c>
    </row>
    <row r="41" spans="1:7">
      <c r="A41" s="2">
        <v>12</v>
      </c>
      <c r="B41" s="2">
        <v>619.172955142222</v>
      </c>
      <c r="C41" s="2">
        <v>0.827044857777651</v>
      </c>
      <c r="D41" s="2">
        <v>0.0287950043593779</v>
      </c>
      <c r="F41" s="2">
        <v>38.3333333333333</v>
      </c>
      <c r="G41" s="2">
        <v>620</v>
      </c>
    </row>
    <row r="42" spans="1:7">
      <c r="A42" s="2">
        <v>13</v>
      </c>
      <c r="B42" s="2">
        <v>633.697739831152</v>
      </c>
      <c r="C42" s="2">
        <v>-3.69773983115181</v>
      </c>
      <c r="D42" s="2">
        <v>-0.128743239930146</v>
      </c>
      <c r="F42" s="2">
        <v>41.6666666666667</v>
      </c>
      <c r="G42" s="2">
        <v>630</v>
      </c>
    </row>
    <row r="43" spans="1:7">
      <c r="A43" s="2">
        <v>14</v>
      </c>
      <c r="B43" s="2">
        <v>631.317952756566</v>
      </c>
      <c r="C43" s="2">
        <v>23.6820472434339</v>
      </c>
      <c r="D43" s="2">
        <v>0.824531640818213</v>
      </c>
      <c r="F43" s="2">
        <v>45</v>
      </c>
      <c r="G43" s="2">
        <v>655</v>
      </c>
    </row>
    <row r="44" spans="1:7">
      <c r="A44" s="2">
        <v>15</v>
      </c>
      <c r="B44" s="2">
        <v>671.368128526613</v>
      </c>
      <c r="C44" s="2">
        <v>18.6318714733872</v>
      </c>
      <c r="D44" s="2">
        <v>0.648700992762583</v>
      </c>
      <c r="F44" s="2">
        <v>48.3333333333333</v>
      </c>
      <c r="G44" s="2">
        <v>690</v>
      </c>
    </row>
    <row r="45" spans="1:7">
      <c r="A45" s="2">
        <v>16</v>
      </c>
      <c r="B45" s="2">
        <v>666.431943175784</v>
      </c>
      <c r="C45" s="2">
        <v>23.5680568242157</v>
      </c>
      <c r="D45" s="2">
        <v>0.820562866225821</v>
      </c>
      <c r="F45" s="2">
        <v>51.6666666666667</v>
      </c>
      <c r="G45" s="2">
        <v>690</v>
      </c>
    </row>
    <row r="46" spans="1:7">
      <c r="A46" s="2">
        <v>17</v>
      </c>
      <c r="B46" s="2">
        <v>691.779464095678</v>
      </c>
      <c r="C46" s="2">
        <v>18.220535904322</v>
      </c>
      <c r="D46" s="2">
        <v>0.634379629909031</v>
      </c>
      <c r="F46" s="2">
        <v>55</v>
      </c>
      <c r="G46" s="2">
        <v>710</v>
      </c>
    </row>
    <row r="47" spans="1:7">
      <c r="A47" s="2">
        <v>18</v>
      </c>
      <c r="B47" s="2">
        <v>770.598570560822</v>
      </c>
      <c r="C47" s="2">
        <v>-50.5985705608221</v>
      </c>
      <c r="D47" s="2">
        <v>-1.76167718857744</v>
      </c>
      <c r="F47" s="2">
        <v>58.3333333333333</v>
      </c>
      <c r="G47" s="2">
        <v>720</v>
      </c>
    </row>
    <row r="48" spans="1:7">
      <c r="A48" s="2">
        <v>19</v>
      </c>
      <c r="B48" s="2">
        <v>760.245819729521</v>
      </c>
      <c r="C48" s="2">
        <v>-15.2458197295211</v>
      </c>
      <c r="D48" s="2">
        <v>-0.530809715392579</v>
      </c>
      <c r="F48" s="2">
        <v>61.6666666666667</v>
      </c>
      <c r="G48" s="2">
        <v>745</v>
      </c>
    </row>
    <row r="49" spans="1:7">
      <c r="A49" s="2">
        <v>20</v>
      </c>
      <c r="B49" s="2">
        <v>748.203574887047</v>
      </c>
      <c r="C49" s="2">
        <v>11.7964251129526</v>
      </c>
      <c r="D49" s="2">
        <v>0.410713045801765</v>
      </c>
      <c r="F49" s="2">
        <v>65</v>
      </c>
      <c r="G49" s="2">
        <v>760</v>
      </c>
    </row>
    <row r="50" spans="1:7">
      <c r="A50" s="2">
        <v>21</v>
      </c>
      <c r="B50" s="2">
        <v>775.760683468675</v>
      </c>
      <c r="C50" s="2">
        <v>4.2393165313249</v>
      </c>
      <c r="D50" s="2">
        <v>0.147599174158824</v>
      </c>
      <c r="F50" s="2">
        <v>68.3333333333333</v>
      </c>
      <c r="G50" s="2">
        <v>780</v>
      </c>
    </row>
    <row r="51" spans="1:7">
      <c r="A51" s="2">
        <v>22</v>
      </c>
      <c r="B51" s="2">
        <v>796.259963342552</v>
      </c>
      <c r="C51" s="2">
        <v>43.7400366574481</v>
      </c>
      <c r="D51" s="2">
        <v>1.52288540867656</v>
      </c>
      <c r="F51" s="2">
        <v>71.6666666666667</v>
      </c>
      <c r="G51" s="2">
        <v>840</v>
      </c>
    </row>
    <row r="52" spans="1:7">
      <c r="A52" s="2">
        <v>23</v>
      </c>
      <c r="B52" s="2">
        <v>840.460572570408</v>
      </c>
      <c r="C52" s="2">
        <v>4.53942742959168</v>
      </c>
      <c r="D52" s="2">
        <v>0.158048056758868</v>
      </c>
      <c r="F52" s="2">
        <v>75</v>
      </c>
      <c r="G52" s="2">
        <v>845</v>
      </c>
    </row>
    <row r="53" spans="1:7">
      <c r="A53" s="2">
        <v>24</v>
      </c>
      <c r="B53" s="2">
        <v>886.173816468584</v>
      </c>
      <c r="C53" s="2">
        <v>-36.1738164685838</v>
      </c>
      <c r="D53" s="2">
        <v>-1.25945430058915</v>
      </c>
      <c r="F53" s="2">
        <v>78.3333333333333</v>
      </c>
      <c r="G53" s="2">
        <v>850</v>
      </c>
    </row>
    <row r="54" spans="1:7">
      <c r="A54" s="2">
        <v>25</v>
      </c>
      <c r="B54" s="2">
        <v>883.558808179175</v>
      </c>
      <c r="C54" s="2">
        <v>-23.5588081791749</v>
      </c>
      <c r="D54" s="2">
        <v>-0.820240858571989</v>
      </c>
      <c r="F54" s="2">
        <v>81.6666666666667</v>
      </c>
      <c r="G54" s="2">
        <v>860</v>
      </c>
    </row>
    <row r="55" spans="1:7">
      <c r="A55" s="2">
        <v>26</v>
      </c>
      <c r="B55" s="2">
        <v>915.477521843046</v>
      </c>
      <c r="C55" s="2">
        <v>-25.477521843046</v>
      </c>
      <c r="D55" s="2">
        <v>-0.887044210041977</v>
      </c>
      <c r="F55" s="2">
        <v>85</v>
      </c>
      <c r="G55" s="2">
        <v>890</v>
      </c>
    </row>
    <row r="56" spans="1:7">
      <c r="A56" s="2">
        <v>27</v>
      </c>
      <c r="B56" s="2">
        <v>915.541249917251</v>
      </c>
      <c r="C56" s="2">
        <v>24.4587500827488</v>
      </c>
      <c r="D56" s="2">
        <v>0.851573900296268</v>
      </c>
      <c r="F56" s="2">
        <v>88.3333333333333</v>
      </c>
      <c r="G56" s="2">
        <v>940</v>
      </c>
    </row>
    <row r="57" spans="1:7">
      <c r="A57" s="2">
        <v>28</v>
      </c>
      <c r="B57" s="2">
        <v>922.178232166138</v>
      </c>
      <c r="C57" s="2">
        <v>37.8217678338622</v>
      </c>
      <c r="D57" s="2">
        <v>1.31683059197284</v>
      </c>
      <c r="F57" s="2">
        <v>91.6666666666667</v>
      </c>
      <c r="G57" s="2">
        <v>960</v>
      </c>
    </row>
    <row r="58" spans="1:7">
      <c r="A58" s="2">
        <v>29</v>
      </c>
      <c r="B58" s="2">
        <v>983.951839956605</v>
      </c>
      <c r="C58" s="2">
        <v>-3.95183995660466</v>
      </c>
      <c r="D58" s="2">
        <v>-0.137590177495049</v>
      </c>
      <c r="F58" s="2">
        <v>95</v>
      </c>
      <c r="G58" s="2">
        <v>980</v>
      </c>
    </row>
    <row r="59" ht="15.15" spans="1:7">
      <c r="A59" s="3">
        <v>30</v>
      </c>
      <c r="B59" s="3">
        <v>1009.33254333595</v>
      </c>
      <c r="C59" s="3">
        <v>-19.3325433359541</v>
      </c>
      <c r="D59" s="3">
        <v>-0.673096101622004</v>
      </c>
      <c r="F59" s="3">
        <v>98.3333333333333</v>
      </c>
      <c r="G59" s="3">
        <v>990</v>
      </c>
    </row>
  </sheetData>
  <sortState ref="G30:G59">
    <sortCondition ref="G30"/>
  </sortState>
  <pageMargins left="0.7" right="0.7" top="0.75" bottom="0.75" header="0.3" footer="0.3"/>
  <headerFooter/>
  <drawing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49"/>
  <sheetViews>
    <sheetView zoomScale="75" zoomScaleNormal="75" workbookViewId="0">
      <selection activeCell="H10" sqref="H10"/>
    </sheetView>
  </sheetViews>
  <sheetFormatPr defaultColWidth="9" defaultRowHeight="14.4"/>
  <cols>
    <col min="1" max="1" width="55.5555555555556" customWidth="1"/>
    <col min="12" max="12" width="12.6666666666667" customWidth="1"/>
  </cols>
  <sheetData>
    <row r="1" ht="144.75" spans="1:14">
      <c r="A1" s="5" t="s">
        <v>33</v>
      </c>
      <c r="B1" s="6" t="s">
        <v>34</v>
      </c>
      <c r="C1" s="31" t="s">
        <v>35</v>
      </c>
      <c r="D1" s="6" t="s">
        <v>36</v>
      </c>
      <c r="E1" s="6" t="s">
        <v>37</v>
      </c>
      <c r="F1" s="6" t="s">
        <v>42</v>
      </c>
      <c r="G1" s="6" t="s">
        <v>43</v>
      </c>
    </row>
    <row r="2" spans="1:14">
      <c r="A2" s="7">
        <v>1</v>
      </c>
      <c r="B2" s="7">
        <v>335</v>
      </c>
      <c r="C2" s="7">
        <v>145</v>
      </c>
      <c r="D2" s="7">
        <v>500</v>
      </c>
      <c r="E2" s="7">
        <v>1340</v>
      </c>
      <c r="F2" s="7">
        <v>1.02</v>
      </c>
      <c r="G2" s="7">
        <v>96</v>
      </c>
      <c r="J2" s="8"/>
      <c r="K2" s="8"/>
      <c r="L2" s="9"/>
      <c r="M2" s="9"/>
      <c r="N2" s="9"/>
    </row>
    <row r="3" spans="1:14">
      <c r="A3" s="7">
        <v>2</v>
      </c>
      <c r="B3" s="7">
        <v>336</v>
      </c>
      <c r="C3" s="7">
        <v>150</v>
      </c>
      <c r="D3" s="7">
        <v>510</v>
      </c>
      <c r="E3" s="7">
        <v>1560</v>
      </c>
      <c r="F3" s="7">
        <v>1.03</v>
      </c>
      <c r="G3" s="7">
        <v>97</v>
      </c>
      <c r="J3" s="8"/>
      <c r="K3" s="8"/>
      <c r="L3" s="9"/>
      <c r="M3" s="9"/>
      <c r="N3" s="9"/>
    </row>
    <row r="4" spans="1:14">
      <c r="A4" s="7">
        <v>3</v>
      </c>
      <c r="B4" s="7">
        <v>388</v>
      </c>
      <c r="C4" s="7">
        <v>160</v>
      </c>
      <c r="D4" s="7">
        <v>509</v>
      </c>
      <c r="E4" s="7">
        <v>1590</v>
      </c>
      <c r="F4" s="7">
        <v>1.02</v>
      </c>
      <c r="G4" s="7">
        <v>96</v>
      </c>
      <c r="J4" s="8"/>
      <c r="K4" s="8"/>
      <c r="L4" s="9"/>
      <c r="M4" s="9"/>
      <c r="N4" s="9"/>
    </row>
    <row r="5" spans="1:14">
      <c r="A5" s="7">
        <v>4</v>
      </c>
      <c r="B5" s="7">
        <v>420</v>
      </c>
      <c r="C5" s="7">
        <v>165</v>
      </c>
      <c r="D5" s="7">
        <v>515</v>
      </c>
      <c r="E5" s="7">
        <v>1680</v>
      </c>
      <c r="F5" s="7">
        <v>1.04</v>
      </c>
      <c r="G5" s="7">
        <v>93</v>
      </c>
      <c r="J5" s="8"/>
      <c r="K5" s="8"/>
      <c r="L5" s="9"/>
      <c r="M5" s="9"/>
      <c r="N5" s="9"/>
    </row>
    <row r="6" spans="1:14">
      <c r="A6" s="7">
        <v>5</v>
      </c>
      <c r="B6" s="7">
        <v>450</v>
      </c>
      <c r="C6" s="7">
        <v>165</v>
      </c>
      <c r="D6" s="7">
        <v>520</v>
      </c>
      <c r="E6" s="7">
        <v>1450</v>
      </c>
      <c r="F6" s="7">
        <v>1.03</v>
      </c>
      <c r="G6" s="7">
        <v>93</v>
      </c>
      <c r="J6" s="8"/>
      <c r="K6" s="8"/>
      <c r="L6" s="9"/>
      <c r="M6" s="9"/>
      <c r="N6" s="9"/>
    </row>
    <row r="7" spans="1:14">
      <c r="A7" s="7">
        <v>6</v>
      </c>
      <c r="B7" s="7">
        <v>450</v>
      </c>
      <c r="C7" s="7">
        <v>164</v>
      </c>
      <c r="D7" s="7">
        <v>519</v>
      </c>
      <c r="E7" s="7">
        <v>1600</v>
      </c>
      <c r="F7" s="7">
        <v>1.03</v>
      </c>
      <c r="G7" s="7">
        <v>94</v>
      </c>
      <c r="J7" s="10"/>
      <c r="K7" s="10"/>
      <c r="L7" s="11"/>
      <c r="M7" s="10"/>
      <c r="N7" s="10"/>
    </row>
    <row r="8" spans="1:14">
      <c r="A8" s="7">
        <v>7</v>
      </c>
      <c r="B8" s="7">
        <v>500</v>
      </c>
      <c r="C8" s="7">
        <v>170</v>
      </c>
      <c r="D8" s="7">
        <v>525</v>
      </c>
      <c r="E8" s="7">
        <v>1200</v>
      </c>
      <c r="F8" s="7">
        <v>1.04</v>
      </c>
      <c r="G8" s="7">
        <v>95</v>
      </c>
    </row>
    <row r="9" spans="1:14">
      <c r="A9" s="7">
        <v>8</v>
      </c>
      <c r="B9" s="7">
        <v>520</v>
      </c>
      <c r="C9" s="7">
        <v>175</v>
      </c>
      <c r="D9" s="7">
        <v>526</v>
      </c>
      <c r="E9" s="7">
        <v>1280</v>
      </c>
      <c r="F9" s="7">
        <v>1.05</v>
      </c>
      <c r="G9" s="7">
        <v>95</v>
      </c>
    </row>
    <row r="10" spans="1:14">
      <c r="A10" s="7">
        <v>9</v>
      </c>
      <c r="B10" s="7">
        <v>550</v>
      </c>
      <c r="C10" s="7">
        <v>180</v>
      </c>
      <c r="D10" s="7">
        <v>530</v>
      </c>
      <c r="E10" s="7">
        <v>1560</v>
      </c>
      <c r="F10" s="7">
        <v>1.07</v>
      </c>
      <c r="G10" s="7">
        <v>95</v>
      </c>
    </row>
    <row r="11" spans="1:14">
      <c r="A11" s="7">
        <v>10</v>
      </c>
      <c r="B11" s="7">
        <v>600</v>
      </c>
      <c r="C11" s="7">
        <v>192</v>
      </c>
      <c r="D11" s="7">
        <v>550</v>
      </c>
      <c r="E11" s="7">
        <v>1680</v>
      </c>
      <c r="F11" s="7">
        <v>1.2</v>
      </c>
      <c r="G11" s="7">
        <v>95</v>
      </c>
    </row>
    <row r="12" spans="1:14">
      <c r="A12" s="7">
        <v>11</v>
      </c>
      <c r="B12" s="7">
        <v>605</v>
      </c>
      <c r="C12" s="7">
        <v>195</v>
      </c>
      <c r="D12" s="7">
        <v>570</v>
      </c>
      <c r="E12" s="7">
        <v>1780</v>
      </c>
      <c r="F12" s="7">
        <v>1.25</v>
      </c>
      <c r="G12" s="7">
        <v>88</v>
      </c>
    </row>
    <row r="13" spans="1:14">
      <c r="A13" s="7">
        <v>12</v>
      </c>
      <c r="B13" s="7">
        <v>620</v>
      </c>
      <c r="C13" s="7">
        <v>196</v>
      </c>
      <c r="D13" s="7">
        <v>560</v>
      </c>
      <c r="E13" s="7">
        <v>1890</v>
      </c>
      <c r="F13" s="7">
        <v>1.28</v>
      </c>
      <c r="G13" s="7">
        <v>85</v>
      </c>
    </row>
    <row r="14" spans="1:14">
      <c r="A14" s="7">
        <v>13</v>
      </c>
      <c r="B14" s="7">
        <v>630</v>
      </c>
      <c r="C14" s="7">
        <v>199</v>
      </c>
      <c r="D14" s="7">
        <v>555</v>
      </c>
      <c r="E14" s="7">
        <v>1580</v>
      </c>
      <c r="F14" s="7">
        <v>1.32</v>
      </c>
      <c r="G14" s="7">
        <v>72</v>
      </c>
    </row>
    <row r="15" spans="1:14">
      <c r="A15" s="7">
        <v>14</v>
      </c>
      <c r="B15" s="7">
        <v>655</v>
      </c>
      <c r="C15" s="7">
        <v>200</v>
      </c>
      <c r="D15" s="7">
        <v>555</v>
      </c>
      <c r="E15" s="7">
        <v>1760</v>
      </c>
      <c r="F15" s="7">
        <v>1.35</v>
      </c>
      <c r="G15" s="7">
        <v>68</v>
      </c>
    </row>
    <row r="16" spans="1:14">
      <c r="A16" s="7">
        <v>15</v>
      </c>
      <c r="B16" s="7">
        <v>690</v>
      </c>
      <c r="C16" s="7">
        <v>200</v>
      </c>
      <c r="D16" s="7">
        <v>560</v>
      </c>
      <c r="E16" s="7">
        <v>1340</v>
      </c>
      <c r="F16" s="7">
        <v>1.32</v>
      </c>
      <c r="G16" s="7">
        <v>66</v>
      </c>
    </row>
    <row r="17" spans="1:7">
      <c r="A17" s="7">
        <v>16</v>
      </c>
      <c r="B17" s="7">
        <v>690</v>
      </c>
      <c r="C17" s="7">
        <v>205</v>
      </c>
      <c r="D17" s="7">
        <v>560</v>
      </c>
      <c r="E17" s="7">
        <v>1670</v>
      </c>
      <c r="F17" s="7">
        <v>1.32</v>
      </c>
      <c r="G17" s="7">
        <v>62</v>
      </c>
    </row>
    <row r="18" spans="1:7">
      <c r="A18" s="7">
        <v>17</v>
      </c>
      <c r="B18" s="7">
        <v>710</v>
      </c>
      <c r="C18" s="7">
        <v>210</v>
      </c>
      <c r="D18" s="7">
        <v>562</v>
      </c>
      <c r="E18" s="7">
        <v>1350</v>
      </c>
      <c r="F18" s="7">
        <v>1.45</v>
      </c>
      <c r="G18" s="7">
        <v>60</v>
      </c>
    </row>
    <row r="19" spans="1:7">
      <c r="A19" s="7">
        <v>18</v>
      </c>
      <c r="B19" s="7">
        <v>720</v>
      </c>
      <c r="C19" s="7">
        <v>220</v>
      </c>
      <c r="D19" s="7">
        <v>580</v>
      </c>
      <c r="E19" s="7">
        <v>1240</v>
      </c>
      <c r="F19" s="7">
        <v>1.48</v>
      </c>
      <c r="G19" s="7">
        <v>60</v>
      </c>
    </row>
    <row r="20" spans="1:7">
      <c r="A20" s="7">
        <v>19</v>
      </c>
      <c r="B20" s="7">
        <v>745</v>
      </c>
      <c r="C20" s="7">
        <v>230</v>
      </c>
      <c r="D20" s="7">
        <v>581</v>
      </c>
      <c r="E20" s="7">
        <v>1450</v>
      </c>
      <c r="F20" s="7">
        <v>1.31</v>
      </c>
      <c r="G20" s="7">
        <v>70</v>
      </c>
    </row>
    <row r="21" spans="1:7">
      <c r="A21" s="7">
        <v>20</v>
      </c>
      <c r="B21" s="7">
        <v>760</v>
      </c>
      <c r="C21" s="7">
        <v>240</v>
      </c>
      <c r="D21" s="7">
        <v>582</v>
      </c>
      <c r="E21" s="7">
        <v>1670</v>
      </c>
      <c r="F21" s="7">
        <v>1.22</v>
      </c>
      <c r="G21" s="7">
        <v>80</v>
      </c>
    </row>
    <row r="22" spans="1:7">
      <c r="A22" s="7">
        <v>21</v>
      </c>
      <c r="B22" s="7">
        <v>780</v>
      </c>
      <c r="C22" s="7">
        <v>250</v>
      </c>
      <c r="D22" s="7">
        <v>585</v>
      </c>
      <c r="E22" s="7">
        <v>1280</v>
      </c>
      <c r="F22" s="7">
        <v>1.15</v>
      </c>
      <c r="G22" s="7">
        <v>87</v>
      </c>
    </row>
    <row r="23" spans="1:7">
      <c r="A23" s="7">
        <v>22</v>
      </c>
      <c r="B23" s="7">
        <v>840</v>
      </c>
      <c r="C23" s="7">
        <v>260</v>
      </c>
      <c r="D23" s="7">
        <v>590</v>
      </c>
      <c r="E23" s="7">
        <v>1340</v>
      </c>
      <c r="F23" s="7">
        <v>1.11</v>
      </c>
      <c r="G23" s="7">
        <v>89</v>
      </c>
    </row>
    <row r="24" spans="1:7">
      <c r="A24" s="7">
        <v>23</v>
      </c>
      <c r="B24" s="7">
        <v>845</v>
      </c>
      <c r="C24" s="7">
        <v>270</v>
      </c>
      <c r="D24" s="7">
        <v>601</v>
      </c>
      <c r="E24" s="7">
        <v>1450</v>
      </c>
      <c r="F24" s="7">
        <v>1.08</v>
      </c>
      <c r="G24" s="7">
        <v>89</v>
      </c>
    </row>
    <row r="25" spans="1:7">
      <c r="A25" s="7">
        <v>24</v>
      </c>
      <c r="B25" s="7">
        <v>850</v>
      </c>
      <c r="C25" s="7">
        <v>275</v>
      </c>
      <c r="D25" s="7">
        <v>612</v>
      </c>
      <c r="E25" s="7">
        <v>1450</v>
      </c>
      <c r="F25" s="7">
        <v>1.06</v>
      </c>
      <c r="G25" s="7">
        <v>89</v>
      </c>
    </row>
    <row r="26" spans="1:7">
      <c r="A26" s="7">
        <v>25</v>
      </c>
      <c r="B26" s="7">
        <v>860</v>
      </c>
      <c r="C26" s="7">
        <v>280</v>
      </c>
      <c r="D26" s="7">
        <v>610</v>
      </c>
      <c r="E26" s="7">
        <v>1670</v>
      </c>
      <c r="F26" s="7">
        <v>1.06</v>
      </c>
      <c r="G26" s="7">
        <v>87</v>
      </c>
    </row>
    <row r="27" spans="1:7">
      <c r="A27" s="7">
        <v>26</v>
      </c>
      <c r="B27" s="7">
        <v>890</v>
      </c>
      <c r="C27" s="7">
        <v>290</v>
      </c>
      <c r="D27" s="7">
        <v>611</v>
      </c>
      <c r="E27" s="7">
        <v>1330</v>
      </c>
      <c r="F27" s="7">
        <v>1.05</v>
      </c>
      <c r="G27" s="7">
        <v>83</v>
      </c>
    </row>
    <row r="28" spans="1:7">
      <c r="A28" s="7">
        <v>27</v>
      </c>
      <c r="B28" s="7">
        <v>940</v>
      </c>
      <c r="C28" s="7">
        <v>295</v>
      </c>
      <c r="D28" s="7">
        <v>615</v>
      </c>
      <c r="E28" s="7">
        <v>1560</v>
      </c>
      <c r="F28" s="7">
        <v>1.05</v>
      </c>
      <c r="G28" s="7">
        <v>88</v>
      </c>
    </row>
    <row r="29" spans="1:7">
      <c r="A29" s="7">
        <v>28</v>
      </c>
      <c r="B29" s="7">
        <v>960</v>
      </c>
      <c r="C29" s="7">
        <v>300</v>
      </c>
      <c r="D29" s="7">
        <v>620</v>
      </c>
      <c r="E29" s="7">
        <v>1760</v>
      </c>
      <c r="F29" s="7">
        <v>1.03</v>
      </c>
      <c r="G29" s="7">
        <v>96</v>
      </c>
    </row>
    <row r="30" spans="1:7">
      <c r="A30" s="7">
        <v>29</v>
      </c>
      <c r="B30" s="7">
        <v>980</v>
      </c>
      <c r="C30" s="7">
        <v>380</v>
      </c>
      <c r="D30" s="7">
        <v>621</v>
      </c>
      <c r="E30" s="7">
        <v>1650</v>
      </c>
      <c r="F30" s="7">
        <v>1.04</v>
      </c>
      <c r="G30" s="7">
        <v>97</v>
      </c>
    </row>
    <row r="31" spans="1:7">
      <c r="A31" s="7">
        <v>30</v>
      </c>
      <c r="B31" s="7">
        <v>990</v>
      </c>
      <c r="C31" s="7">
        <v>410</v>
      </c>
      <c r="D31" s="7">
        <v>622</v>
      </c>
      <c r="E31" s="7">
        <v>1890</v>
      </c>
      <c r="F31" s="7">
        <v>1.05</v>
      </c>
      <c r="G31" s="7">
        <v>90</v>
      </c>
    </row>
    <row r="32" ht="15.15"/>
    <row r="33" spans="1:7">
      <c r="A33" s="4"/>
      <c r="B33" s="4" t="s">
        <v>34</v>
      </c>
      <c r="C33" s="4" t="s">
        <v>35</v>
      </c>
      <c r="D33" s="4" t="s">
        <v>36</v>
      </c>
      <c r="E33" s="4" t="s">
        <v>37</v>
      </c>
      <c r="F33" s="4" t="s">
        <v>42</v>
      </c>
      <c r="G33" s="4" t="s">
        <v>43</v>
      </c>
    </row>
    <row r="34" spans="1:7">
      <c r="A34" s="2" t="s">
        <v>34</v>
      </c>
      <c r="B34" s="2">
        <v>1</v>
      </c>
      <c r="C34" s="2">
        <f t="array" ref="C34:G34">TRANSPOSE(B35:B39)</f>
        <v>0.921855144693758</v>
      </c>
      <c r="D34" s="2">
        <v>0.983720697847245</v>
      </c>
      <c r="E34" s="2">
        <v>0.13327651079711</v>
      </c>
      <c r="F34" s="2">
        <v>0.0859335269717821</v>
      </c>
      <c r="G34" s="2">
        <v>-0.208003633223321</v>
      </c>
    </row>
    <row r="35" spans="1:7">
      <c r="A35" s="2" t="s">
        <v>35</v>
      </c>
      <c r="B35" s="2">
        <v>0.921855144693758</v>
      </c>
      <c r="C35" s="2">
        <v>1</v>
      </c>
      <c r="D35" s="2">
        <f t="array" ref="D35:G35">TRANSPOSE(C36:C39)</f>
        <v>0.910939054645627</v>
      </c>
      <c r="E35" s="2">
        <v>0.236919946834704</v>
      </c>
      <c r="F35" s="2">
        <v>-0.142976794568483</v>
      </c>
      <c r="G35" s="2">
        <v>0.0215753007959865</v>
      </c>
    </row>
    <row r="36" spans="1:7">
      <c r="A36" s="2" t="s">
        <v>36</v>
      </c>
      <c r="B36" s="2">
        <v>0.983720697847245</v>
      </c>
      <c r="C36" s="2">
        <v>0.910939054645627</v>
      </c>
      <c r="D36" s="2">
        <v>1</v>
      </c>
      <c r="E36" s="2">
        <f t="array" ref="E36:G36">TRANSPOSE(D37:D39)</f>
        <v>0.166930834502891</v>
      </c>
      <c r="F36" s="2">
        <v>0.0723844169596546</v>
      </c>
      <c r="G36" s="2">
        <v>-0.175915406454601</v>
      </c>
    </row>
    <row r="37" spans="1:7">
      <c r="A37" s="2" t="s">
        <v>37</v>
      </c>
      <c r="B37" s="2">
        <v>0.13327651079711</v>
      </c>
      <c r="C37" s="2">
        <v>0.236919946834704</v>
      </c>
      <c r="D37" s="2">
        <v>0.166930834502891</v>
      </c>
      <c r="E37" s="2">
        <v>1</v>
      </c>
      <c r="F37" s="2">
        <f t="array" ref="F37:G37">TRANSPOSE(E38:E39)</f>
        <v>-0.0283968515693851</v>
      </c>
      <c r="G37" s="2">
        <v>0.1416547452213</v>
      </c>
    </row>
    <row r="38" spans="1:7">
      <c r="A38" s="2" t="s">
        <v>42</v>
      </c>
      <c r="B38" s="2">
        <v>0.0859335269717821</v>
      </c>
      <c r="C38" s="2">
        <v>-0.142976794568483</v>
      </c>
      <c r="D38" s="2">
        <v>0.0723844169596546</v>
      </c>
      <c r="E38" s="2">
        <v>-0.0283968515693851</v>
      </c>
      <c r="F38" s="2">
        <v>1</v>
      </c>
      <c r="G38" s="2">
        <f>F39</f>
        <v>-0.90463924905337</v>
      </c>
    </row>
    <row r="39" ht="15.15" spans="1:7">
      <c r="A39" s="3" t="s">
        <v>43</v>
      </c>
      <c r="B39" s="3">
        <v>-0.208003633223321</v>
      </c>
      <c r="C39" s="3">
        <v>0.0215753007959865</v>
      </c>
      <c r="D39" s="3">
        <v>-0.175915406454601</v>
      </c>
      <c r="E39" s="3">
        <v>0.1416547452213</v>
      </c>
      <c r="F39" s="3">
        <v>-0.90463924905337</v>
      </c>
      <c r="G39" s="3">
        <v>1</v>
      </c>
    </row>
    <row r="42" spans="1:7">
      <c r="A42" s="28" t="s">
        <v>83</v>
      </c>
      <c r="B42" s="22"/>
      <c r="C42" s="22"/>
      <c r="D42" s="22"/>
    </row>
    <row r="43" spans="1:7">
      <c r="A43" s="22"/>
      <c r="B43" s="22"/>
      <c r="C43" s="22"/>
      <c r="D43" s="22"/>
    </row>
    <row r="44" spans="1:7">
      <c r="A44" s="22"/>
      <c r="B44" s="22"/>
      <c r="C44" s="22"/>
      <c r="D44" s="22"/>
    </row>
    <row r="45" spans="1:7">
      <c r="A45" s="22"/>
      <c r="B45" s="22"/>
      <c r="C45" s="22"/>
      <c r="D45" s="22"/>
    </row>
    <row r="46" spans="1:7">
      <c r="A46" s="22"/>
      <c r="B46" s="22"/>
      <c r="C46" s="22"/>
      <c r="D46" s="22"/>
    </row>
    <row r="47" spans="1:7">
      <c r="A47" s="22"/>
      <c r="B47" s="22"/>
      <c r="C47" s="22"/>
      <c r="D47" s="22"/>
    </row>
    <row r="48" spans="1:7">
      <c r="A48" s="22"/>
      <c r="B48" s="22"/>
      <c r="C48" s="22"/>
      <c r="D48" s="22"/>
    </row>
    <row r="49" spans="1:4">
      <c r="A49" s="22"/>
      <c r="B49" s="22"/>
      <c r="C49" s="22"/>
      <c r="D49" s="22"/>
    </row>
  </sheetData>
  <mergeCells count="1">
    <mergeCell ref="A42:D49"/>
  </mergeCells>
  <conditionalFormatting sqref="B34:G39">
    <cfRule type="cellIs" dxfId="1" priority="1" operator="notBetween">
      <formula>-0.7</formula>
      <formula>0.7</formula>
    </cfRule>
  </conditionalFormatting>
  <pageMargins left="0.7" right="0.7" top="0.75" bottom="0.75" header="0.3" footer="0.3"/>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58"/>
  <sheetViews>
    <sheetView workbookViewId="0">
      <selection activeCell="C24" sqref="C24"/>
    </sheetView>
  </sheetViews>
  <sheetFormatPr defaultColWidth="9" defaultRowHeight="14.4"/>
  <cols>
    <col min="1" max="1" width="55.5555555555556" customWidth="1"/>
    <col min="2" max="2" width="33.1111111111111" customWidth="1"/>
    <col min="3" max="3" width="21" customWidth="1"/>
    <col min="4" max="4" width="22.6666666666667" customWidth="1"/>
    <col min="5" max="5" width="12" customWidth="1"/>
  </cols>
  <sheetData>
    <row r="1" spans="1:9">
      <c r="A1" t="s">
        <v>51</v>
      </c>
    </row>
    <row r="2" ht="15.15"/>
    <row r="3" spans="1:9">
      <c r="A3" s="1" t="s">
        <v>52</v>
      </c>
      <c r="B3" s="1"/>
    </row>
    <row r="4" spans="1:9">
      <c r="A4" s="2" t="s">
        <v>53</v>
      </c>
      <c r="B4" s="2">
        <v>0.989029339107987</v>
      </c>
    </row>
    <row r="5" spans="1:9">
      <c r="A5" s="2" t="s">
        <v>54</v>
      </c>
      <c r="B5" s="2">
        <v>0.978179033616381</v>
      </c>
    </row>
    <row r="6" spans="1:9">
      <c r="A6" s="2" t="s">
        <v>55</v>
      </c>
      <c r="B6" s="2">
        <v>0.973632998953127</v>
      </c>
    </row>
    <row r="7" spans="1:9">
      <c r="A7" s="2" t="s">
        <v>56</v>
      </c>
      <c r="B7" s="2">
        <v>31.668592762335</v>
      </c>
    </row>
    <row r="8" ht="15.15" spans="1:9">
      <c r="A8" s="3" t="s">
        <v>57</v>
      </c>
      <c r="B8" s="3">
        <v>30</v>
      </c>
    </row>
    <row r="10" ht="15.15" spans="1:9">
      <c r="A10" t="s">
        <v>58</v>
      </c>
    </row>
    <row r="11" spans="1:9">
      <c r="A11" s="4"/>
      <c r="B11" s="4" t="s">
        <v>59</v>
      </c>
      <c r="C11" s="4" t="s">
        <v>60</v>
      </c>
      <c r="D11" s="4" t="s">
        <v>61</v>
      </c>
      <c r="E11" s="4" t="s">
        <v>62</v>
      </c>
      <c r="F11" s="4" t="s">
        <v>63</v>
      </c>
    </row>
    <row r="12" spans="1:9">
      <c r="A12" s="2" t="s">
        <v>64</v>
      </c>
      <c r="B12" s="2">
        <v>5</v>
      </c>
      <c r="C12" s="2">
        <v>1078979.37224555</v>
      </c>
      <c r="D12" s="2">
        <v>215795.87444911</v>
      </c>
      <c r="E12" s="2">
        <v>215.171925881496</v>
      </c>
      <c r="F12" s="2">
        <v>4.09946293877732e-19</v>
      </c>
    </row>
    <row r="13" spans="1:9">
      <c r="A13" s="2" t="s">
        <v>65</v>
      </c>
      <c r="B13" s="2">
        <v>24</v>
      </c>
      <c r="C13" s="2">
        <v>24069.5944211187</v>
      </c>
      <c r="D13" s="2">
        <v>1002.89976754661</v>
      </c>
      <c r="E13" s="2"/>
      <c r="F13" s="2"/>
    </row>
    <row r="14" ht="15.15" spans="1:9">
      <c r="A14" s="3" t="s">
        <v>66</v>
      </c>
      <c r="B14" s="3">
        <v>29</v>
      </c>
      <c r="C14" s="3">
        <v>1103048.96666667</v>
      </c>
      <c r="D14" s="3"/>
      <c r="E14" s="3"/>
      <c r="F14" s="3"/>
    </row>
    <row r="15" ht="15.15"/>
    <row r="16" spans="1:9">
      <c r="A16" s="4"/>
      <c r="B16" s="4" t="s">
        <v>67</v>
      </c>
      <c r="C16" s="4" t="s">
        <v>56</v>
      </c>
      <c r="D16" s="4" t="s">
        <v>68</v>
      </c>
      <c r="E16" s="4" t="s">
        <v>69</v>
      </c>
      <c r="F16" s="4" t="s">
        <v>70</v>
      </c>
      <c r="G16" s="4" t="s">
        <v>71</v>
      </c>
      <c r="H16" s="4" t="s">
        <v>72</v>
      </c>
      <c r="I16" s="4" t="s">
        <v>73</v>
      </c>
    </row>
    <row r="17" spans="1:9">
      <c r="A17" s="2" t="s">
        <v>74</v>
      </c>
      <c r="B17" s="2">
        <v>-1423.18741573605</v>
      </c>
      <c r="C17" s="2">
        <v>279.922593277587</v>
      </c>
      <c r="D17" s="2">
        <v>-5.0842177441702</v>
      </c>
      <c r="E17" s="2">
        <v>3.35849520826683e-5</v>
      </c>
      <c r="F17" s="2">
        <v>-2000.91925336885</v>
      </c>
      <c r="G17" s="2">
        <v>-845.455578103249</v>
      </c>
      <c r="H17" s="2">
        <v>-2000.91925336885</v>
      </c>
      <c r="I17" s="2">
        <v>-845.455578103249</v>
      </c>
    </row>
    <row r="18" spans="1:9">
      <c r="A18" s="2" t="s">
        <v>35</v>
      </c>
      <c r="B18" s="2">
        <v>0.741938231911268</v>
      </c>
      <c r="C18" s="2">
        <v>0.262466332074922</v>
      </c>
      <c r="D18" s="37">
        <v>2.82679392075125</v>
      </c>
      <c r="E18" s="37">
        <v>0.00932913855683697</v>
      </c>
      <c r="F18" s="2">
        <v>0.200234346666053</v>
      </c>
      <c r="G18" s="2">
        <v>1.28364211715648</v>
      </c>
      <c r="H18" s="2">
        <v>0.200234346666053</v>
      </c>
      <c r="I18" s="2">
        <v>1.28364211715648</v>
      </c>
    </row>
    <row r="19" spans="1:9">
      <c r="A19" s="2" t="s">
        <v>36</v>
      </c>
      <c r="B19" s="2">
        <v>3.78693712411305</v>
      </c>
      <c r="C19" s="2">
        <v>0.429629128351075</v>
      </c>
      <c r="D19" s="37">
        <v>8.81443290087752</v>
      </c>
      <c r="E19" s="37">
        <v>5.44150031458618e-9</v>
      </c>
      <c r="F19" s="2">
        <v>2.90022618407576</v>
      </c>
      <c r="G19" s="2">
        <v>4.67364806415033</v>
      </c>
      <c r="H19" s="2">
        <v>2.90022618407576</v>
      </c>
      <c r="I19" s="2">
        <v>4.67364806415033</v>
      </c>
    </row>
    <row r="20" spans="1:9">
      <c r="A20" s="2" t="s">
        <v>37</v>
      </c>
      <c r="B20" s="2">
        <v>-0.0385990733823293</v>
      </c>
      <c r="C20" s="2">
        <v>0.0337782944230307</v>
      </c>
      <c r="D20" s="2">
        <v>-1.14271824678074</v>
      </c>
      <c r="E20" s="2">
        <v>0.26442750028454</v>
      </c>
      <c r="F20" s="2">
        <v>-0.10831404665627</v>
      </c>
      <c r="G20" s="2">
        <v>0.0311158998916117</v>
      </c>
      <c r="H20" s="2">
        <v>-0.10831404665627</v>
      </c>
      <c r="I20" s="2">
        <v>0.0311158998916117</v>
      </c>
    </row>
    <row r="21" spans="1:9">
      <c r="A21" s="2" t="s">
        <v>42</v>
      </c>
      <c r="B21" s="2">
        <v>-21.2292998443846</v>
      </c>
      <c r="C21" s="2">
        <v>110.149185600052</v>
      </c>
      <c r="D21" s="2">
        <v>-0.192732245170358</v>
      </c>
      <c r="E21" s="2">
        <v>0.848790308469466</v>
      </c>
      <c r="F21" s="2">
        <v>-248.566045568831</v>
      </c>
      <c r="G21" s="2">
        <v>206.107445880062</v>
      </c>
      <c r="H21" s="2">
        <v>-248.566045568831</v>
      </c>
      <c r="I21" s="2">
        <v>206.107445880062</v>
      </c>
    </row>
    <row r="22" ht="15.15" spans="1:9">
      <c r="A22" s="3" t="s">
        <v>43</v>
      </c>
      <c r="B22" s="3">
        <v>-1.45606133298029</v>
      </c>
      <c r="C22" s="3">
        <v>1.26647528126147</v>
      </c>
      <c r="D22" s="3">
        <v>-1.14969581682635</v>
      </c>
      <c r="E22" s="3">
        <v>0.26159742648475</v>
      </c>
      <c r="F22" s="3">
        <v>-4.06993784431328</v>
      </c>
      <c r="G22" s="3">
        <v>1.15781517835271</v>
      </c>
      <c r="H22" s="3">
        <v>-4.06993784431328</v>
      </c>
      <c r="I22" s="3">
        <v>1.15781517835271</v>
      </c>
    </row>
    <row r="26" spans="1:9">
      <c r="A26" t="s">
        <v>75</v>
      </c>
      <c r="F26" t="s">
        <v>76</v>
      </c>
    </row>
    <row r="27" ht="15.15"/>
    <row r="28" spans="1:9">
      <c r="A28" s="4" t="s">
        <v>77</v>
      </c>
      <c r="B28" s="4" t="s">
        <v>78</v>
      </c>
      <c r="C28" s="4" t="s">
        <v>79</v>
      </c>
      <c r="D28" s="4" t="s">
        <v>80</v>
      </c>
      <c r="F28" s="4" t="s">
        <v>81</v>
      </c>
      <c r="G28" s="4" t="s">
        <v>34</v>
      </c>
    </row>
    <row r="29" spans="1:9">
      <c r="A29" s="2">
        <v>1</v>
      </c>
      <c r="B29" s="2">
        <v>364.703657807909</v>
      </c>
      <c r="C29" s="2">
        <v>-29.703657807909</v>
      </c>
      <c r="D29" s="2">
        <v>-1.03103770061542</v>
      </c>
      <c r="F29" s="2">
        <v>1.66666666666667</v>
      </c>
      <c r="G29" s="2">
        <v>335</v>
      </c>
    </row>
    <row r="30" spans="1:9">
      <c r="A30" s="2">
        <v>2</v>
      </c>
      <c r="B30" s="2">
        <v>396.122569733059</v>
      </c>
      <c r="C30" s="2">
        <v>-60.1225697330592</v>
      </c>
      <c r="D30" s="2">
        <v>-2.08690244324583</v>
      </c>
      <c r="F30" s="2">
        <v>5</v>
      </c>
      <c r="G30" s="2">
        <v>336</v>
      </c>
    </row>
    <row r="31" spans="1:9">
      <c r="A31" s="2">
        <v>3</v>
      </c>
      <c r="B31" s="2">
        <v>400.265397058013</v>
      </c>
      <c r="C31" s="2">
        <v>-12.2653970580129</v>
      </c>
      <c r="D31" s="2">
        <v>-0.425741733951081</v>
      </c>
      <c r="F31" s="2">
        <v>8.33333333333333</v>
      </c>
      <c r="G31" s="2">
        <v>388</v>
      </c>
    </row>
    <row r="32" spans="1:9">
      <c r="A32" s="2">
        <v>4</v>
      </c>
      <c r="B32" s="2">
        <v>427.166392359891</v>
      </c>
      <c r="C32" s="2">
        <v>-7.16639235989112</v>
      </c>
      <c r="D32" s="2">
        <v>-0.248751205936754</v>
      </c>
      <c r="F32" s="2">
        <v>11.6666666666667</v>
      </c>
      <c r="G32" s="2">
        <v>420</v>
      </c>
    </row>
    <row r="33" spans="1:7">
      <c r="A33" s="2">
        <v>5</v>
      </c>
      <c r="B33" s="2">
        <v>455.191157856836</v>
      </c>
      <c r="C33" s="2">
        <v>-5.19115785683596</v>
      </c>
      <c r="D33" s="2">
        <v>-0.18018923779881</v>
      </c>
      <c r="F33" s="2">
        <v>15</v>
      </c>
      <c r="G33" s="2">
        <v>450</v>
      </c>
    </row>
    <row r="34" spans="1:7">
      <c r="A34" s="2">
        <v>6</v>
      </c>
      <c r="B34" s="2">
        <v>443.416360160482</v>
      </c>
      <c r="C34" s="2">
        <v>6.58363983951807</v>
      </c>
      <c r="D34" s="2">
        <v>0.228523400239595</v>
      </c>
      <c r="F34" s="2">
        <v>18.3333333333333</v>
      </c>
      <c r="G34" s="2">
        <v>450</v>
      </c>
    </row>
    <row r="35" spans="1:7">
      <c r="A35" s="2">
        <v>7</v>
      </c>
      <c r="B35" s="2">
        <v>484.360887318136</v>
      </c>
      <c r="C35" s="2">
        <v>15.6391126818643</v>
      </c>
      <c r="D35" s="2">
        <v>0.542846099408046</v>
      </c>
      <c r="F35" s="2">
        <v>21.6666666666667</v>
      </c>
      <c r="G35" s="2">
        <v>500</v>
      </c>
    </row>
    <row r="36" spans="1:7">
      <c r="A36" s="2">
        <v>8</v>
      </c>
      <c r="B36" s="2">
        <v>488.557296732775</v>
      </c>
      <c r="C36" s="2">
        <v>31.4427032672253</v>
      </c>
      <c r="D36" s="2">
        <v>1.09140135829133</v>
      </c>
      <c r="F36" s="2">
        <v>25</v>
      </c>
      <c r="G36" s="2">
        <v>520</v>
      </c>
    </row>
    <row r="37" spans="1:7">
      <c r="A37" s="2">
        <v>9</v>
      </c>
      <c r="B37" s="2">
        <v>496.182409844844</v>
      </c>
      <c r="C37" s="2">
        <v>53.8175901551565</v>
      </c>
      <c r="D37" s="2">
        <v>1.86805156338224</v>
      </c>
      <c r="F37" s="2">
        <v>28.3333333333333</v>
      </c>
      <c r="G37" s="2">
        <v>550</v>
      </c>
    </row>
    <row r="38" spans="1:7">
      <c r="A38" s="2">
        <v>10</v>
      </c>
      <c r="B38" s="2">
        <v>573.43271332439</v>
      </c>
      <c r="C38" s="2">
        <v>26.5672866756099</v>
      </c>
      <c r="D38" s="2">
        <v>0.922171752137476</v>
      </c>
      <c r="F38" s="2">
        <v>31.6666666666667</v>
      </c>
      <c r="G38" s="2">
        <v>600</v>
      </c>
    </row>
    <row r="39" spans="1:7">
      <c r="A39" s="2">
        <v>11</v>
      </c>
      <c r="B39" s="2">
        <v>656.668327502795</v>
      </c>
      <c r="C39" s="2">
        <v>-51.6683275027946</v>
      </c>
      <c r="D39" s="2">
        <v>-1.79344893910477</v>
      </c>
      <c r="F39" s="2">
        <v>35</v>
      </c>
      <c r="G39" s="2">
        <v>605</v>
      </c>
    </row>
    <row r="40" spans="1:7">
      <c r="A40" s="2">
        <v>12</v>
      </c>
      <c r="B40" s="2">
        <v>619.026301425129</v>
      </c>
      <c r="C40" s="2">
        <v>0.973698574871378</v>
      </c>
      <c r="D40" s="2">
        <v>0.0337978556789254</v>
      </c>
      <c r="F40" s="2">
        <v>38.3333333333333</v>
      </c>
      <c r="G40" s="2">
        <v>620</v>
      </c>
    </row>
    <row r="41" spans="1:7">
      <c r="A41" s="2">
        <v>13</v>
      </c>
      <c r="B41" s="2">
        <v>632.362768583788</v>
      </c>
      <c r="C41" s="2">
        <v>-2.36276858378756</v>
      </c>
      <c r="D41" s="2">
        <v>-0.0820135857835671</v>
      </c>
      <c r="F41" s="2">
        <v>41.6666666666667</v>
      </c>
      <c r="G41" s="2">
        <v>630</v>
      </c>
    </row>
    <row r="42" spans="1:7">
      <c r="A42" s="2">
        <v>14</v>
      </c>
      <c r="B42" s="2">
        <v>631.344239943469</v>
      </c>
      <c r="C42" s="2">
        <v>23.6557600565309</v>
      </c>
      <c r="D42" s="2">
        <v>0.82111033640111</v>
      </c>
      <c r="F42" s="2">
        <v>45</v>
      </c>
      <c r="G42" s="2">
        <v>655</v>
      </c>
    </row>
    <row r="43" spans="1:7">
      <c r="A43" s="2">
        <v>15</v>
      </c>
      <c r="B43" s="2">
        <v>670.039538045905</v>
      </c>
      <c r="C43" s="2">
        <v>19.9604619540952</v>
      </c>
      <c r="D43" s="2">
        <v>0.692843586115247</v>
      </c>
      <c r="F43" s="2">
        <v>48.3333333333333</v>
      </c>
      <c r="G43" s="2">
        <v>690</v>
      </c>
    </row>
    <row r="44" spans="1:7">
      <c r="A44" s="2">
        <v>16</v>
      </c>
      <c r="B44" s="2">
        <v>666.835780321214</v>
      </c>
      <c r="C44" s="2">
        <v>23.1642196787864</v>
      </c>
      <c r="D44" s="2">
        <v>0.804048577068076</v>
      </c>
      <c r="F44" s="2">
        <v>51.6666666666667</v>
      </c>
      <c r="G44" s="2">
        <v>690</v>
      </c>
    </row>
    <row r="45" spans="1:7">
      <c r="A45" s="2">
        <v>17</v>
      </c>
      <c r="B45" s="2">
        <v>690.623362897532</v>
      </c>
      <c r="C45" s="2">
        <v>19.376637102468</v>
      </c>
      <c r="D45" s="2">
        <v>0.672578558943286</v>
      </c>
      <c r="F45" s="2">
        <v>55</v>
      </c>
      <c r="G45" s="2">
        <v>710</v>
      </c>
    </row>
    <row r="46" spans="1:7">
      <c r="A46" s="2">
        <v>18</v>
      </c>
      <c r="B46" s="2">
        <v>769.816632527404</v>
      </c>
      <c r="C46" s="2">
        <v>-49.8166325274042</v>
      </c>
      <c r="D46" s="2">
        <v>-1.72917512670045</v>
      </c>
      <c r="F46" s="2">
        <v>58.3333333333333</v>
      </c>
      <c r="G46" s="2">
        <v>720</v>
      </c>
    </row>
    <row r="47" spans="1:7">
      <c r="A47" s="2">
        <v>19</v>
      </c>
      <c r="B47" s="2">
        <v>761.965514204083</v>
      </c>
      <c r="C47" s="2">
        <v>-16.9655142040833</v>
      </c>
      <c r="D47" s="2">
        <v>-0.588886556257013</v>
      </c>
      <c r="F47" s="2">
        <v>61.6666666666667</v>
      </c>
      <c r="G47" s="2">
        <v>745</v>
      </c>
    </row>
    <row r="48" spans="1:7">
      <c r="A48" s="2">
        <v>20</v>
      </c>
      <c r="B48" s="2">
        <v>752.030061159388</v>
      </c>
      <c r="C48" s="2">
        <v>7.96993884061158</v>
      </c>
      <c r="D48" s="2">
        <v>0.276642946448221</v>
      </c>
      <c r="F48" s="2">
        <v>65</v>
      </c>
      <c r="G48" s="2">
        <v>760</v>
      </c>
    </row>
    <row r="49" spans="1:7">
      <c r="A49" s="2">
        <v>21</v>
      </c>
      <c r="B49" s="2">
        <v>777.157515128193</v>
      </c>
      <c r="C49" s="2">
        <v>2.84248487180662</v>
      </c>
      <c r="D49" s="2">
        <v>0.0986649215128402</v>
      </c>
      <c r="F49" s="2">
        <v>68.3333333333333</v>
      </c>
      <c r="G49" s="2">
        <v>780</v>
      </c>
    </row>
    <row r="50" spans="1:7">
      <c r="A50" s="2">
        <v>22</v>
      </c>
      <c r="B50" s="2">
        <v>799.132687992746</v>
      </c>
      <c r="C50" s="2">
        <v>40.8673120072538</v>
      </c>
      <c r="D50" s="2">
        <v>1.41853705946857</v>
      </c>
      <c r="F50" s="2">
        <v>71.6666666666667</v>
      </c>
      <c r="G50" s="2">
        <v>840</v>
      </c>
    </row>
    <row r="51" spans="1:7">
      <c r="A51" s="2">
        <v>23</v>
      </c>
      <c r="B51" s="2">
        <v>844.599359600378</v>
      </c>
      <c r="C51" s="2">
        <v>0.400640399622034</v>
      </c>
      <c r="D51" s="2">
        <v>0.0139065484483853</v>
      </c>
      <c r="F51" s="2">
        <v>75</v>
      </c>
      <c r="G51" s="2">
        <v>845</v>
      </c>
    </row>
    <row r="52" spans="1:7">
      <c r="A52" s="2">
        <v>24</v>
      </c>
      <c r="B52" s="2">
        <v>890.389945122066</v>
      </c>
      <c r="C52" s="2">
        <v>-40.3899451220657</v>
      </c>
      <c r="D52" s="2">
        <v>-1.40196727338912</v>
      </c>
      <c r="F52" s="2">
        <v>78.3333333333333</v>
      </c>
      <c r="G52" s="2">
        <v>850</v>
      </c>
    </row>
    <row r="53" spans="1:7">
      <c r="A53" s="2">
        <v>25</v>
      </c>
      <c r="B53" s="2">
        <v>880.946088555244</v>
      </c>
      <c r="C53" s="2">
        <v>-20.9460885552438</v>
      </c>
      <c r="D53" s="2">
        <v>-0.727055473118708</v>
      </c>
      <c r="F53" s="2">
        <v>81.6666666666667</v>
      </c>
      <c r="G53" s="2">
        <v>860</v>
      </c>
    </row>
    <row r="54" spans="1:7">
      <c r="A54" s="2">
        <v>26</v>
      </c>
      <c r="B54" s="2">
        <v>911.312631278827</v>
      </c>
      <c r="C54" s="2">
        <v>-21.3126312788265</v>
      </c>
      <c r="D54" s="2">
        <v>-0.739778463982123</v>
      </c>
      <c r="F54" s="2">
        <v>85</v>
      </c>
      <c r="G54" s="2">
        <v>890</v>
      </c>
    </row>
    <row r="55" spans="1:7">
      <c r="A55" s="2">
        <v>27</v>
      </c>
      <c r="B55" s="2">
        <v>914.011977391998</v>
      </c>
      <c r="C55" s="2">
        <v>25.9880226080022</v>
      </c>
      <c r="D55" s="2">
        <v>0.902065033423649</v>
      </c>
      <c r="F55" s="2">
        <v>88.3333333333333</v>
      </c>
      <c r="G55" s="2">
        <v>940</v>
      </c>
    </row>
    <row r="56" spans="1:7">
      <c r="A56" s="2">
        <v>28</v>
      </c>
      <c r="B56" s="2">
        <v>917.712634828699</v>
      </c>
      <c r="C56" s="2">
        <v>42.2873651713012</v>
      </c>
      <c r="D56" s="2">
        <v>1.46782823964844</v>
      </c>
      <c r="F56" s="2">
        <v>91.6666666666667</v>
      </c>
      <c r="G56" s="2">
        <v>960</v>
      </c>
    </row>
    <row r="57" spans="1:7">
      <c r="A57" s="2">
        <v>29</v>
      </c>
      <c r="B57" s="2">
        <v>983.432174246346</v>
      </c>
      <c r="C57" s="2">
        <v>-3.43217424634565</v>
      </c>
      <c r="D57" s="2">
        <v>-0.119133510961786</v>
      </c>
      <c r="F57" s="2">
        <v>95</v>
      </c>
      <c r="G57" s="2">
        <v>980</v>
      </c>
    </row>
    <row r="58" ht="15.15" spans="1:7">
      <c r="A58" s="3">
        <v>30</v>
      </c>
      <c r="B58" s="3">
        <v>1010.19361704846</v>
      </c>
      <c r="C58" s="3">
        <v>-20.1936170484561</v>
      </c>
      <c r="D58" s="3">
        <v>-0.700936585769741</v>
      </c>
      <c r="F58" s="3">
        <v>98.3333333333333</v>
      </c>
      <c r="G58" s="3">
        <v>990</v>
      </c>
    </row>
  </sheetData>
  <sortState ref="G29:G58">
    <sortCondition ref="G29"/>
  </sortState>
  <pageMargins left="0.7" right="0.7" top="0.75" bottom="0.75" header="0.3" footer="0.3"/>
  <headerFooter/>
  <drawing r:id="rId1"/>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M47"/>
  <sheetViews>
    <sheetView zoomScale="63" zoomScaleNormal="63" workbookViewId="0">
      <selection activeCell="I10" sqref="I10"/>
    </sheetView>
  </sheetViews>
  <sheetFormatPr defaultColWidth="9" defaultRowHeight="14.4"/>
  <cols>
    <col min="1" max="1" width="55.5555555555556" customWidth="1"/>
    <col min="11" max="11" width="13" customWidth="1"/>
  </cols>
  <sheetData>
    <row r="1" ht="144" spans="1:13">
      <c r="A1" s="5" t="s">
        <v>33</v>
      </c>
      <c r="B1" s="6" t="s">
        <v>34</v>
      </c>
      <c r="C1" s="6" t="s">
        <v>36</v>
      </c>
      <c r="D1" s="6" t="s">
        <v>37</v>
      </c>
      <c r="E1" s="31" t="s">
        <v>42</v>
      </c>
      <c r="F1" s="6" t="s">
        <v>43</v>
      </c>
    </row>
    <row r="2" spans="1:13">
      <c r="A2" s="7">
        <v>1</v>
      </c>
      <c r="B2" s="7">
        <v>335</v>
      </c>
      <c r="C2" s="7">
        <v>500</v>
      </c>
      <c r="D2" s="7">
        <v>1340</v>
      </c>
      <c r="E2" s="7">
        <v>1.02</v>
      </c>
      <c r="F2" s="7">
        <v>96</v>
      </c>
    </row>
    <row r="3" spans="1:13">
      <c r="A3" s="7">
        <v>2</v>
      </c>
      <c r="B3" s="7">
        <v>336</v>
      </c>
      <c r="C3" s="7">
        <v>510</v>
      </c>
      <c r="D3" s="7">
        <v>1560</v>
      </c>
      <c r="E3" s="7">
        <v>1.03</v>
      </c>
      <c r="F3" s="7">
        <v>97</v>
      </c>
      <c r="I3" s="8"/>
      <c r="J3" s="8"/>
      <c r="K3" s="9"/>
      <c r="L3" s="9"/>
      <c r="M3" s="9"/>
    </row>
    <row r="4" spans="1:13">
      <c r="A4" s="7">
        <v>3</v>
      </c>
      <c r="B4" s="7">
        <v>388</v>
      </c>
      <c r="C4" s="7">
        <v>509</v>
      </c>
      <c r="D4" s="7">
        <v>1590</v>
      </c>
      <c r="E4" s="7">
        <v>1.02</v>
      </c>
      <c r="F4" s="7">
        <v>96</v>
      </c>
      <c r="I4" s="8"/>
      <c r="J4" s="8"/>
      <c r="K4" s="9"/>
      <c r="L4" s="9"/>
      <c r="M4" s="9"/>
    </row>
    <row r="5" spans="1:13">
      <c r="A5" s="7">
        <v>4</v>
      </c>
      <c r="B5" s="7">
        <v>420</v>
      </c>
      <c r="C5" s="7">
        <v>515</v>
      </c>
      <c r="D5" s="7">
        <v>1680</v>
      </c>
      <c r="E5" s="7">
        <v>1.04</v>
      </c>
      <c r="F5" s="7">
        <v>93</v>
      </c>
      <c r="I5" s="8"/>
      <c r="J5" s="8"/>
      <c r="K5" s="9"/>
      <c r="L5" s="9"/>
      <c r="M5" s="9"/>
    </row>
    <row r="6" spans="1:13">
      <c r="A6" s="7">
        <v>5</v>
      </c>
      <c r="B6" s="7">
        <v>450</v>
      </c>
      <c r="C6" s="7">
        <v>520</v>
      </c>
      <c r="D6" s="7">
        <v>1450</v>
      </c>
      <c r="E6" s="7">
        <v>1.03</v>
      </c>
      <c r="F6" s="7">
        <v>93</v>
      </c>
      <c r="I6" s="8"/>
      <c r="J6" s="8"/>
      <c r="K6" s="9"/>
      <c r="L6" s="9"/>
      <c r="M6" s="9"/>
    </row>
    <row r="7" spans="1:13">
      <c r="A7" s="7">
        <v>6</v>
      </c>
      <c r="B7" s="7">
        <v>450</v>
      </c>
      <c r="C7" s="7">
        <v>519</v>
      </c>
      <c r="D7" s="7">
        <v>1600</v>
      </c>
      <c r="E7" s="7">
        <v>1.03</v>
      </c>
      <c r="F7" s="7">
        <v>94</v>
      </c>
      <c r="I7" s="8"/>
      <c r="J7" s="8"/>
      <c r="K7" s="9"/>
      <c r="L7" s="9"/>
      <c r="M7" s="9"/>
    </row>
    <row r="8" spans="1:13">
      <c r="A8" s="7">
        <v>7</v>
      </c>
      <c r="B8" s="7">
        <v>500</v>
      </c>
      <c r="C8" s="7">
        <v>525</v>
      </c>
      <c r="D8" s="7">
        <v>1200</v>
      </c>
      <c r="E8" s="7">
        <v>1.04</v>
      </c>
      <c r="F8" s="7">
        <v>95</v>
      </c>
      <c r="I8" s="10"/>
      <c r="J8" s="10"/>
      <c r="K8" s="11"/>
      <c r="L8" s="10"/>
      <c r="M8" s="10"/>
    </row>
    <row r="9" spans="1:13">
      <c r="A9" s="7">
        <v>8</v>
      </c>
      <c r="B9" s="7">
        <v>520</v>
      </c>
      <c r="C9" s="7">
        <v>526</v>
      </c>
      <c r="D9" s="7">
        <v>1280</v>
      </c>
      <c r="E9" s="7">
        <v>1.05</v>
      </c>
      <c r="F9" s="7">
        <v>95</v>
      </c>
    </row>
    <row r="10" spans="1:13">
      <c r="A10" s="7">
        <v>9</v>
      </c>
      <c r="B10" s="7">
        <v>550</v>
      </c>
      <c r="C10" s="7">
        <v>530</v>
      </c>
      <c r="D10" s="7">
        <v>1560</v>
      </c>
      <c r="E10" s="7">
        <v>1.07</v>
      </c>
      <c r="F10" s="7">
        <v>95</v>
      </c>
    </row>
    <row r="11" spans="1:13">
      <c r="A11" s="7">
        <v>10</v>
      </c>
      <c r="B11" s="7">
        <v>600</v>
      </c>
      <c r="C11" s="7">
        <v>550</v>
      </c>
      <c r="D11" s="7">
        <v>1680</v>
      </c>
      <c r="E11" s="7">
        <v>1.2</v>
      </c>
      <c r="F11" s="7">
        <v>95</v>
      </c>
    </row>
    <row r="12" spans="1:13">
      <c r="A12" s="7">
        <v>11</v>
      </c>
      <c r="B12" s="7">
        <v>605</v>
      </c>
      <c r="C12" s="7">
        <v>570</v>
      </c>
      <c r="D12" s="7">
        <v>1780</v>
      </c>
      <c r="E12" s="7">
        <v>1.25</v>
      </c>
      <c r="F12" s="7">
        <v>88</v>
      </c>
    </row>
    <row r="13" spans="1:13">
      <c r="A13" s="7">
        <v>12</v>
      </c>
      <c r="B13" s="7">
        <v>620</v>
      </c>
      <c r="C13" s="7">
        <v>560</v>
      </c>
      <c r="D13" s="7">
        <v>1890</v>
      </c>
      <c r="E13" s="7">
        <v>1.28</v>
      </c>
      <c r="F13" s="7">
        <v>85</v>
      </c>
    </row>
    <row r="14" spans="1:13">
      <c r="A14" s="7">
        <v>13</v>
      </c>
      <c r="B14" s="7">
        <v>630</v>
      </c>
      <c r="C14" s="7">
        <v>555</v>
      </c>
      <c r="D14" s="7">
        <v>1580</v>
      </c>
      <c r="E14" s="7">
        <v>1.32</v>
      </c>
      <c r="F14" s="7">
        <v>72</v>
      </c>
    </row>
    <row r="15" spans="1:13">
      <c r="A15" s="7">
        <v>14</v>
      </c>
      <c r="B15" s="7">
        <v>655</v>
      </c>
      <c r="C15" s="7">
        <v>555</v>
      </c>
      <c r="D15" s="7">
        <v>1760</v>
      </c>
      <c r="E15" s="7">
        <v>1.35</v>
      </c>
      <c r="F15" s="7">
        <v>68</v>
      </c>
    </row>
    <row r="16" spans="1:13">
      <c r="A16" s="7">
        <v>15</v>
      </c>
      <c r="B16" s="7">
        <v>690</v>
      </c>
      <c r="C16" s="7">
        <v>560</v>
      </c>
      <c r="D16" s="7">
        <v>1340</v>
      </c>
      <c r="E16" s="7">
        <v>1.32</v>
      </c>
      <c r="F16" s="7">
        <v>66</v>
      </c>
    </row>
    <row r="17" spans="1:6">
      <c r="A17" s="7">
        <v>16</v>
      </c>
      <c r="B17" s="7">
        <v>690</v>
      </c>
      <c r="C17" s="7">
        <v>560</v>
      </c>
      <c r="D17" s="7">
        <v>1670</v>
      </c>
      <c r="E17" s="7">
        <v>1.32</v>
      </c>
      <c r="F17" s="7">
        <v>62</v>
      </c>
    </row>
    <row r="18" spans="1:6">
      <c r="A18" s="7">
        <v>17</v>
      </c>
      <c r="B18" s="7">
        <v>710</v>
      </c>
      <c r="C18" s="7">
        <v>562</v>
      </c>
      <c r="D18" s="7">
        <v>1350</v>
      </c>
      <c r="E18" s="7">
        <v>1.45</v>
      </c>
      <c r="F18" s="7">
        <v>60</v>
      </c>
    </row>
    <row r="19" spans="1:6">
      <c r="A19" s="7">
        <v>18</v>
      </c>
      <c r="B19" s="7">
        <v>720</v>
      </c>
      <c r="C19" s="7">
        <v>580</v>
      </c>
      <c r="D19" s="7">
        <v>1240</v>
      </c>
      <c r="E19" s="7">
        <v>1.48</v>
      </c>
      <c r="F19" s="7">
        <v>60</v>
      </c>
    </row>
    <row r="20" spans="1:6">
      <c r="A20" s="7">
        <v>19</v>
      </c>
      <c r="B20" s="7">
        <v>745</v>
      </c>
      <c r="C20" s="7">
        <v>581</v>
      </c>
      <c r="D20" s="7">
        <v>1450</v>
      </c>
      <c r="E20" s="7">
        <v>1.31</v>
      </c>
      <c r="F20" s="7">
        <v>70</v>
      </c>
    </row>
    <row r="21" spans="1:6">
      <c r="A21" s="7">
        <v>20</v>
      </c>
      <c r="B21" s="7">
        <v>760</v>
      </c>
      <c r="C21" s="7">
        <v>582</v>
      </c>
      <c r="D21" s="7">
        <v>1670</v>
      </c>
      <c r="E21" s="7">
        <v>1.22</v>
      </c>
      <c r="F21" s="7">
        <v>80</v>
      </c>
    </row>
    <row r="22" spans="1:6">
      <c r="A22" s="7">
        <v>21</v>
      </c>
      <c r="B22" s="7">
        <v>780</v>
      </c>
      <c r="C22" s="7">
        <v>585</v>
      </c>
      <c r="D22" s="7">
        <v>1280</v>
      </c>
      <c r="E22" s="7">
        <v>1.15</v>
      </c>
      <c r="F22" s="7">
        <v>87</v>
      </c>
    </row>
    <row r="23" spans="1:6">
      <c r="A23" s="7">
        <v>22</v>
      </c>
      <c r="B23" s="7">
        <v>840</v>
      </c>
      <c r="C23" s="7">
        <v>590</v>
      </c>
      <c r="D23" s="7">
        <v>1340</v>
      </c>
      <c r="E23" s="7">
        <v>1.11</v>
      </c>
      <c r="F23" s="7">
        <v>89</v>
      </c>
    </row>
    <row r="24" spans="1:6">
      <c r="A24" s="7">
        <v>23</v>
      </c>
      <c r="B24" s="7">
        <v>845</v>
      </c>
      <c r="C24" s="7">
        <v>601</v>
      </c>
      <c r="D24" s="7">
        <v>1450</v>
      </c>
      <c r="E24" s="7">
        <v>1.08</v>
      </c>
      <c r="F24" s="7">
        <v>89</v>
      </c>
    </row>
    <row r="25" spans="1:6">
      <c r="A25" s="7">
        <v>24</v>
      </c>
      <c r="B25" s="7">
        <v>850</v>
      </c>
      <c r="C25" s="7">
        <v>612</v>
      </c>
      <c r="D25" s="7">
        <v>1450</v>
      </c>
      <c r="E25" s="7">
        <v>1.06</v>
      </c>
      <c r="F25" s="7">
        <v>89</v>
      </c>
    </row>
    <row r="26" spans="1:6">
      <c r="A26" s="7">
        <v>25</v>
      </c>
      <c r="B26" s="7">
        <v>860</v>
      </c>
      <c r="C26" s="7">
        <v>610</v>
      </c>
      <c r="D26" s="7">
        <v>1670</v>
      </c>
      <c r="E26" s="7">
        <v>1.06</v>
      </c>
      <c r="F26" s="7">
        <v>87</v>
      </c>
    </row>
    <row r="27" spans="1:6">
      <c r="A27" s="7">
        <v>26</v>
      </c>
      <c r="B27" s="7">
        <v>890</v>
      </c>
      <c r="C27" s="7">
        <v>611</v>
      </c>
      <c r="D27" s="7">
        <v>1330</v>
      </c>
      <c r="E27" s="7">
        <v>1.05</v>
      </c>
      <c r="F27" s="7">
        <v>83</v>
      </c>
    </row>
    <row r="28" spans="1:6">
      <c r="A28" s="7">
        <v>27</v>
      </c>
      <c r="B28" s="7">
        <v>940</v>
      </c>
      <c r="C28" s="7">
        <v>615</v>
      </c>
      <c r="D28" s="7">
        <v>1560</v>
      </c>
      <c r="E28" s="7">
        <v>1.05</v>
      </c>
      <c r="F28" s="7">
        <v>88</v>
      </c>
    </row>
    <row r="29" spans="1:6">
      <c r="A29" s="7">
        <v>28</v>
      </c>
      <c r="B29" s="7">
        <v>960</v>
      </c>
      <c r="C29" s="7">
        <v>620</v>
      </c>
      <c r="D29" s="7">
        <v>1760</v>
      </c>
      <c r="E29" s="7">
        <v>1.03</v>
      </c>
      <c r="F29" s="7">
        <v>96</v>
      </c>
    </row>
    <row r="30" spans="1:6">
      <c r="A30" s="7">
        <v>29</v>
      </c>
      <c r="B30" s="7">
        <v>980</v>
      </c>
      <c r="C30" s="7">
        <v>621</v>
      </c>
      <c r="D30" s="7">
        <v>1650</v>
      </c>
      <c r="E30" s="7">
        <v>1.04</v>
      </c>
      <c r="F30" s="7">
        <v>97</v>
      </c>
    </row>
    <row r="31" spans="1:6">
      <c r="A31" s="7">
        <v>30</v>
      </c>
      <c r="B31" s="7">
        <v>990</v>
      </c>
      <c r="C31" s="7">
        <v>622</v>
      </c>
      <c r="D31" s="7">
        <v>1890</v>
      </c>
      <c r="E31" s="7">
        <v>1.05</v>
      </c>
      <c r="F31" s="7">
        <v>90</v>
      </c>
    </row>
    <row r="32" ht="15.15"/>
    <row r="33" spans="1:6">
      <c r="A33" s="4"/>
      <c r="B33" s="4" t="s">
        <v>34</v>
      </c>
      <c r="C33" s="4" t="s">
        <v>36</v>
      </c>
      <c r="D33" s="4" t="s">
        <v>37</v>
      </c>
      <c r="E33" s="4" t="s">
        <v>42</v>
      </c>
      <c r="F33" s="4" t="s">
        <v>43</v>
      </c>
    </row>
    <row r="34" spans="1:6">
      <c r="A34" s="2" t="s">
        <v>34</v>
      </c>
      <c r="B34" s="2">
        <v>1</v>
      </c>
      <c r="C34" s="2">
        <f t="array" ref="C34:F34">TRANSPOSE(B35:B38)</f>
        <v>0.983720697847245</v>
      </c>
      <c r="D34" s="2">
        <v>0.13327651079711</v>
      </c>
      <c r="E34" s="2">
        <v>0.0859335269717821</v>
      </c>
      <c r="F34" s="2">
        <v>-0.208003633223321</v>
      </c>
    </row>
    <row r="35" spans="1:6">
      <c r="A35" s="2" t="s">
        <v>36</v>
      </c>
      <c r="B35" s="2">
        <v>0.983720697847245</v>
      </c>
      <c r="C35" s="2">
        <v>1</v>
      </c>
      <c r="D35" s="2">
        <f t="array" ref="D35:F35">TRANSPOSE(C36:C38)</f>
        <v>0.166930834502891</v>
      </c>
      <c r="E35" s="2">
        <v>0.0723844169596546</v>
      </c>
      <c r="F35" s="2">
        <v>-0.175915406454601</v>
      </c>
    </row>
    <row r="36" spans="1:6">
      <c r="A36" s="2" t="s">
        <v>37</v>
      </c>
      <c r="B36" s="2">
        <v>0.13327651079711</v>
      </c>
      <c r="C36" s="2">
        <v>0.166930834502891</v>
      </c>
      <c r="D36" s="2">
        <v>1</v>
      </c>
      <c r="E36" s="2">
        <f t="array" ref="E36:F36">TRANSPOSE(D37:D38)</f>
        <v>-0.0283968515693851</v>
      </c>
      <c r="F36" s="2">
        <v>0.1416547452213</v>
      </c>
    </row>
    <row r="37" spans="1:6">
      <c r="A37" s="2" t="s">
        <v>42</v>
      </c>
      <c r="B37" s="2">
        <v>0.0859335269717821</v>
      </c>
      <c r="C37" s="2">
        <v>0.0723844169596546</v>
      </c>
      <c r="D37" s="2">
        <v>-0.0283968515693851</v>
      </c>
      <c r="E37" s="2">
        <v>1</v>
      </c>
      <c r="F37" s="2">
        <f>E38</f>
        <v>-0.90463924905337</v>
      </c>
    </row>
    <row r="38" ht="15.15" spans="1:6">
      <c r="A38" s="3" t="s">
        <v>43</v>
      </c>
      <c r="B38" s="3">
        <v>-0.208003633223321</v>
      </c>
      <c r="C38" s="3">
        <v>-0.175915406454601</v>
      </c>
      <c r="D38" s="3">
        <v>0.1416547452213</v>
      </c>
      <c r="E38" s="3">
        <v>-0.90463924905337</v>
      </c>
      <c r="F38" s="3">
        <v>1</v>
      </c>
    </row>
    <row r="40" spans="1:6">
      <c r="A40" s="28" t="s">
        <v>84</v>
      </c>
      <c r="B40" s="22"/>
      <c r="C40" s="22"/>
      <c r="D40" s="22"/>
    </row>
    <row r="41" spans="1:6">
      <c r="A41" s="22"/>
      <c r="B41" s="22"/>
      <c r="C41" s="22"/>
      <c r="D41" s="22"/>
    </row>
    <row r="42" spans="1:6">
      <c r="A42" s="22"/>
      <c r="B42" s="22"/>
      <c r="C42" s="22"/>
      <c r="D42" s="22"/>
    </row>
    <row r="43" spans="1:6">
      <c r="A43" s="22"/>
      <c r="B43" s="22"/>
      <c r="C43" s="22"/>
      <c r="D43" s="22"/>
    </row>
    <row r="44" spans="1:6">
      <c r="A44" s="22"/>
      <c r="B44" s="22"/>
      <c r="C44" s="22"/>
      <c r="D44" s="22"/>
    </row>
    <row r="45" spans="1:6">
      <c r="A45" s="22"/>
      <c r="B45" s="22"/>
      <c r="C45" s="22"/>
      <c r="D45" s="22"/>
    </row>
    <row r="46" spans="1:6">
      <c r="A46" s="22"/>
      <c r="B46" s="22"/>
      <c r="C46" s="22"/>
      <c r="D46" s="22"/>
    </row>
    <row r="47" spans="1:6">
      <c r="A47" s="22"/>
      <c r="B47" s="22"/>
      <c r="C47" s="22"/>
      <c r="D47" s="22"/>
    </row>
  </sheetData>
  <mergeCells count="1">
    <mergeCell ref="A40:D47"/>
  </mergeCells>
  <conditionalFormatting sqref="F38">
    <cfRule type="cellIs" dxfId="1" priority="2" operator="notBetween">
      <formula>-0.7</formula>
      <formula>0.7</formula>
    </cfRule>
  </conditionalFormatting>
  <conditionalFormatting sqref="B34:F38">
    <cfRule type="cellIs" dxfId="1" priority="1" operator="notBetween">
      <formula>-0.7</formula>
      <formula>0.7</formula>
    </cfRule>
  </conditionalFormatting>
  <pageMargins left="0.7" right="0.7" top="0.75" bottom="0.75" header="0.3" footer="0.3"/>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57"/>
  <sheetViews>
    <sheetView workbookViewId="0">
      <selection activeCell="D23" sqref="D23"/>
    </sheetView>
  </sheetViews>
  <sheetFormatPr defaultColWidth="9" defaultRowHeight="14.4"/>
  <cols>
    <col min="1" max="1" width="55.5555555555556" customWidth="1"/>
    <col min="2" max="2" width="33.1111111111111" customWidth="1"/>
    <col min="3" max="3" width="21" customWidth="1"/>
    <col min="4" max="4" width="22.6666666666667" customWidth="1"/>
    <col min="5" max="5" width="12" customWidth="1"/>
  </cols>
  <sheetData>
    <row r="1" spans="1:9">
      <c r="A1" t="s">
        <v>51</v>
      </c>
    </row>
    <row r="2" ht="15.15"/>
    <row r="3" spans="1:9">
      <c r="A3" s="1" t="s">
        <v>52</v>
      </c>
      <c r="B3" s="1"/>
    </row>
    <row r="4" spans="1:9">
      <c r="A4" s="2" t="s">
        <v>53</v>
      </c>
      <c r="B4" s="2">
        <v>0.985349570309056</v>
      </c>
    </row>
    <row r="5" spans="1:9">
      <c r="A5" s="2" t="s">
        <v>54</v>
      </c>
      <c r="B5" s="2">
        <v>0.970913775708242</v>
      </c>
    </row>
    <row r="6" spans="1:9">
      <c r="A6" s="2" t="s">
        <v>55</v>
      </c>
      <c r="B6" s="2">
        <v>0.96625997982156</v>
      </c>
    </row>
    <row r="7" spans="1:9">
      <c r="A7" s="2" t="s">
        <v>56</v>
      </c>
      <c r="B7" s="2">
        <v>35.8237517014949</v>
      </c>
    </row>
    <row r="8" ht="15.15" spans="1:9">
      <c r="A8" s="3" t="s">
        <v>57</v>
      </c>
      <c r="B8" s="3">
        <v>30</v>
      </c>
    </row>
    <row r="10" ht="15.15" spans="1:9">
      <c r="A10" t="s">
        <v>58</v>
      </c>
    </row>
    <row r="11" spans="1:9">
      <c r="A11" s="4"/>
      <c r="B11" s="4" t="s">
        <v>59</v>
      </c>
      <c r="C11" s="4" t="s">
        <v>60</v>
      </c>
      <c r="D11" s="4" t="s">
        <v>61</v>
      </c>
      <c r="E11" s="4" t="s">
        <v>62</v>
      </c>
      <c r="F11" s="4" t="s">
        <v>63</v>
      </c>
    </row>
    <row r="12" spans="1:9">
      <c r="A12" s="2" t="s">
        <v>64</v>
      </c>
      <c r="B12" s="2">
        <v>4</v>
      </c>
      <c r="C12" s="2">
        <v>1070965.43701741</v>
      </c>
      <c r="D12" s="2">
        <v>267741.359254352</v>
      </c>
      <c r="E12" s="2">
        <v>208.628354003856</v>
      </c>
      <c r="F12" s="2">
        <v>8.21426968957337e-19</v>
      </c>
    </row>
    <row r="13" spans="1:9">
      <c r="A13" s="2" t="s">
        <v>65</v>
      </c>
      <c r="B13" s="2">
        <v>25</v>
      </c>
      <c r="C13" s="2">
        <v>32083.529649259</v>
      </c>
      <c r="D13" s="2">
        <v>1283.34118597036</v>
      </c>
      <c r="E13" s="2"/>
      <c r="F13" s="2"/>
    </row>
    <row r="14" ht="15.15" spans="1:9">
      <c r="A14" s="3" t="s">
        <v>66</v>
      </c>
      <c r="B14" s="3">
        <v>29</v>
      </c>
      <c r="C14" s="3">
        <v>1103048.96666667</v>
      </c>
      <c r="D14" s="3"/>
      <c r="E14" s="3"/>
      <c r="F14" s="3"/>
    </row>
    <row r="15" ht="15.15"/>
    <row r="16" spans="1:9">
      <c r="A16" s="4"/>
      <c r="B16" s="4" t="s">
        <v>67</v>
      </c>
      <c r="C16" s="4" t="s">
        <v>56</v>
      </c>
      <c r="D16" s="4" t="s">
        <v>68</v>
      </c>
      <c r="E16" s="4" t="s">
        <v>69</v>
      </c>
      <c r="F16" s="4" t="s">
        <v>70</v>
      </c>
      <c r="G16" s="4" t="s">
        <v>71</v>
      </c>
      <c r="H16" s="4" t="s">
        <v>72</v>
      </c>
      <c r="I16" s="4" t="s">
        <v>73</v>
      </c>
    </row>
    <row r="17" spans="1:9">
      <c r="A17" s="2" t="s">
        <v>74</v>
      </c>
      <c r="B17" s="2">
        <v>-1771.48139933554</v>
      </c>
      <c r="C17" s="2">
        <v>284.326144472118</v>
      </c>
      <c r="D17" s="2">
        <v>-6.23045553065295</v>
      </c>
      <c r="E17" s="2">
        <v>1.61864036745616e-6</v>
      </c>
      <c r="F17" s="2">
        <v>-2357.06205543157</v>
      </c>
      <c r="G17" s="2">
        <v>-1185.90074323951</v>
      </c>
      <c r="H17" s="2">
        <v>-2357.06205543157</v>
      </c>
      <c r="I17" s="2">
        <v>-1185.90074323951</v>
      </c>
    </row>
    <row r="18" spans="1:9">
      <c r="A18" s="2" t="s">
        <v>36</v>
      </c>
      <c r="B18" s="2">
        <v>4.90984352060599</v>
      </c>
      <c r="C18" s="2">
        <v>0.185131930840679</v>
      </c>
      <c r="D18" s="2">
        <v>26.5207816842321</v>
      </c>
      <c r="E18" s="2">
        <v>7.95476281344764e-20</v>
      </c>
      <c r="F18" s="2">
        <v>4.52855717169396</v>
      </c>
      <c r="G18" s="2">
        <v>5.29112986951803</v>
      </c>
      <c r="H18" s="2">
        <v>4.52855717169396</v>
      </c>
      <c r="I18" s="2">
        <v>5.29112986951803</v>
      </c>
    </row>
    <row r="19" spans="1:9">
      <c r="A19" s="2" t="s">
        <v>37</v>
      </c>
      <c r="B19" s="2">
        <v>-0.0152421014409204</v>
      </c>
      <c r="C19" s="2">
        <v>0.0370494367711143</v>
      </c>
      <c r="D19" s="2">
        <v>-0.41139900547163</v>
      </c>
      <c r="E19" s="2">
        <v>0.68428557384354</v>
      </c>
      <c r="F19" s="2">
        <v>-0.0915468448288259</v>
      </c>
      <c r="G19" s="2">
        <v>0.0610626419469851</v>
      </c>
      <c r="H19" s="2">
        <v>-0.0915468448288259</v>
      </c>
      <c r="I19" s="2">
        <v>0.0610626419469851</v>
      </c>
    </row>
    <row r="20" spans="1:9">
      <c r="A20" s="2" t="s">
        <v>42</v>
      </c>
      <c r="B20" s="2">
        <v>-124.096709833266</v>
      </c>
      <c r="C20" s="2">
        <v>117.60534163998</v>
      </c>
      <c r="D20" s="37">
        <v>-1.05519620199869</v>
      </c>
      <c r="E20" s="37">
        <v>0.30142692759977</v>
      </c>
      <c r="F20" s="2">
        <v>-366.309444950528</v>
      </c>
      <c r="G20" s="2">
        <v>118.116025283996</v>
      </c>
      <c r="H20" s="2">
        <v>-366.309444950528</v>
      </c>
      <c r="I20" s="2">
        <v>118.116025283996</v>
      </c>
    </row>
    <row r="21" ht="15.15" spans="1:9">
      <c r="A21" s="3" t="s">
        <v>43</v>
      </c>
      <c r="B21" s="3">
        <v>-1.88390940415993</v>
      </c>
      <c r="C21" s="3">
        <v>1.42237890031005</v>
      </c>
      <c r="D21" s="38">
        <v>-1.3244778896462</v>
      </c>
      <c r="E21" s="38">
        <v>0.197325602076971</v>
      </c>
      <c r="F21" s="3">
        <v>-4.81335358597131</v>
      </c>
      <c r="G21" s="3">
        <v>1.04553477765144</v>
      </c>
      <c r="H21" s="3">
        <v>-4.81335358597131</v>
      </c>
      <c r="I21" s="3">
        <v>1.04553477765144</v>
      </c>
    </row>
    <row r="25" spans="1:9">
      <c r="A25" t="s">
        <v>75</v>
      </c>
      <c r="F25" t="s">
        <v>76</v>
      </c>
    </row>
    <row r="26" ht="15.15"/>
    <row r="27" spans="1:9">
      <c r="A27" s="4" t="s">
        <v>77</v>
      </c>
      <c r="B27" s="4" t="s">
        <v>78</v>
      </c>
      <c r="C27" s="4" t="s">
        <v>79</v>
      </c>
      <c r="D27" s="4" t="s">
        <v>80</v>
      </c>
      <c r="F27" s="4" t="s">
        <v>81</v>
      </c>
      <c r="G27" s="4" t="s">
        <v>34</v>
      </c>
    </row>
    <row r="28" spans="1:9">
      <c r="A28" s="2">
        <v>1</v>
      </c>
      <c r="B28" s="2">
        <v>355.581998207338</v>
      </c>
      <c r="C28" s="2">
        <v>-20.581998207338</v>
      </c>
      <c r="D28" s="2">
        <v>-0.618793103135742</v>
      </c>
      <c r="F28" s="2">
        <v>1.66666666666667</v>
      </c>
      <c r="G28" s="2">
        <v>335</v>
      </c>
    </row>
    <row r="29" spans="1:9">
      <c r="A29" s="2">
        <v>2</v>
      </c>
      <c r="B29" s="2">
        <v>398.202294593903</v>
      </c>
      <c r="C29" s="2">
        <v>-62.2022945939029</v>
      </c>
      <c r="D29" s="2">
        <v>-1.87009786446304</v>
      </c>
      <c r="F29" s="2">
        <v>5</v>
      </c>
      <c r="G29" s="2">
        <v>336</v>
      </c>
    </row>
    <row r="30" spans="1:9">
      <c r="A30" s="2">
        <v>3</v>
      </c>
      <c r="B30" s="2">
        <v>395.960064532562</v>
      </c>
      <c r="C30" s="2">
        <v>-7.96006453256189</v>
      </c>
      <c r="D30" s="2">
        <v>-0.239317532906432</v>
      </c>
      <c r="F30" s="2">
        <v>8.33333333333333</v>
      </c>
      <c r="G30" s="2">
        <v>388</v>
      </c>
    </row>
    <row r="31" spans="1:9">
      <c r="A31" s="2">
        <v>4</v>
      </c>
      <c r="B31" s="2">
        <v>427.21713054233</v>
      </c>
      <c r="C31" s="2">
        <v>-7.21713054232976</v>
      </c>
      <c r="D31" s="2">
        <v>-0.216981391166955</v>
      </c>
      <c r="F31" s="2">
        <v>11.6666666666667</v>
      </c>
      <c r="G31" s="2">
        <v>420</v>
      </c>
    </row>
    <row r="32" spans="1:9">
      <c r="A32" s="2">
        <v>5</v>
      </c>
      <c r="B32" s="2">
        <v>456.512998575104</v>
      </c>
      <c r="C32" s="2">
        <v>-6.51299857510389</v>
      </c>
      <c r="D32" s="2">
        <v>-0.195811823439492</v>
      </c>
      <c r="F32" s="2">
        <v>15</v>
      </c>
      <c r="G32" s="2">
        <v>450</v>
      </c>
    </row>
    <row r="33" spans="1:7">
      <c r="A33" s="2">
        <v>6</v>
      </c>
      <c r="B33" s="2">
        <v>447.4329304342</v>
      </c>
      <c r="C33" s="2">
        <v>2.56706956580018</v>
      </c>
      <c r="D33" s="2">
        <v>0.0771783636644417</v>
      </c>
      <c r="F33" s="2">
        <v>18.3333333333333</v>
      </c>
      <c r="G33" s="2">
        <v>450</v>
      </c>
    </row>
    <row r="34" spans="1:7">
      <c r="A34" s="2">
        <v>7</v>
      </c>
      <c r="B34" s="2">
        <v>479.863955631712</v>
      </c>
      <c r="C34" s="2">
        <v>20.1360443682884</v>
      </c>
      <c r="D34" s="2">
        <v>0.605385602214747</v>
      </c>
      <c r="F34" s="2">
        <v>21.6666666666667</v>
      </c>
      <c r="G34" s="2">
        <v>500</v>
      </c>
    </row>
    <row r="35" spans="1:7">
      <c r="A35" s="2">
        <v>8</v>
      </c>
      <c r="B35" s="2">
        <v>482.313463938711</v>
      </c>
      <c r="C35" s="2">
        <v>37.6865360612891</v>
      </c>
      <c r="D35" s="2">
        <v>1.13303715027474</v>
      </c>
      <c r="F35" s="2">
        <v>25</v>
      </c>
      <c r="G35" s="2">
        <v>520</v>
      </c>
    </row>
    <row r="36" spans="1:7">
      <c r="A36" s="2">
        <v>9</v>
      </c>
      <c r="B36" s="2">
        <v>495.203115421012</v>
      </c>
      <c r="C36" s="2">
        <v>54.7968845789878</v>
      </c>
      <c r="D36" s="2">
        <v>1.64745589370006</v>
      </c>
      <c r="F36" s="2">
        <v>28.3333333333333</v>
      </c>
      <c r="G36" s="2">
        <v>550</v>
      </c>
    </row>
    <row r="37" spans="1:7">
      <c r="A37" s="2">
        <v>10</v>
      </c>
      <c r="B37" s="2">
        <v>575.438361381897</v>
      </c>
      <c r="C37" s="2">
        <v>24.561638618103</v>
      </c>
      <c r="D37" s="2">
        <v>0.738440088541839</v>
      </c>
      <c r="F37" s="2">
        <v>31.6666666666667</v>
      </c>
      <c r="G37" s="2">
        <v>600</v>
      </c>
    </row>
    <row r="38" spans="1:7">
      <c r="A38" s="2">
        <v>11</v>
      </c>
      <c r="B38" s="2">
        <v>679.093551987381</v>
      </c>
      <c r="C38" s="2">
        <v>-74.0935519873809</v>
      </c>
      <c r="D38" s="2">
        <v>-2.22760581818896</v>
      </c>
      <c r="F38" s="2">
        <v>35</v>
      </c>
      <c r="G38" s="2">
        <v>605</v>
      </c>
    </row>
    <row r="39" spans="1:7">
      <c r="A39" s="2">
        <v>12</v>
      </c>
      <c r="B39" s="2">
        <v>630.247312540302</v>
      </c>
      <c r="C39" s="2">
        <v>-10.2473125403019</v>
      </c>
      <c r="D39" s="2">
        <v>-0.308083124958903</v>
      </c>
      <c r="F39" s="2">
        <v>38.3333333333333</v>
      </c>
      <c r="G39" s="2">
        <v>620</v>
      </c>
    </row>
    <row r="40" spans="1:7">
      <c r="A40" s="2">
        <v>13</v>
      </c>
      <c r="B40" s="2">
        <v>629.950100244705</v>
      </c>
      <c r="C40" s="2">
        <v>0.0498997552946321</v>
      </c>
      <c r="D40" s="2">
        <v>0.00150022481361751</v>
      </c>
      <c r="F40" s="2">
        <v>41.6666666666667</v>
      </c>
      <c r="G40" s="2">
        <v>630</v>
      </c>
    </row>
    <row r="41" spans="1:7">
      <c r="A41" s="2">
        <v>14</v>
      </c>
      <c r="B41" s="2">
        <v>631.019258306981</v>
      </c>
      <c r="C41" s="2">
        <v>23.9807416930186</v>
      </c>
      <c r="D41" s="2">
        <v>0.720975554376889</v>
      </c>
      <c r="F41" s="2">
        <v>45</v>
      </c>
      <c r="G41" s="2">
        <v>655</v>
      </c>
    </row>
    <row r="42" spans="1:7">
      <c r="A42" s="2">
        <v>15</v>
      </c>
      <c r="B42" s="2">
        <v>669.460878618516</v>
      </c>
      <c r="C42" s="2">
        <v>20.5391213814839</v>
      </c>
      <c r="D42" s="2">
        <v>0.61750402110126</v>
      </c>
      <c r="F42" s="2">
        <v>48.3333333333333</v>
      </c>
      <c r="G42" s="2">
        <v>690</v>
      </c>
    </row>
    <row r="43" spans="1:7">
      <c r="A43" s="2">
        <v>16</v>
      </c>
      <c r="B43" s="2">
        <v>671.966622759652</v>
      </c>
      <c r="C43" s="2">
        <v>18.0333772403478</v>
      </c>
      <c r="D43" s="2">
        <v>0.542169392405926</v>
      </c>
      <c r="F43" s="2">
        <v>51.6666666666667</v>
      </c>
      <c r="G43" s="2">
        <v>690</v>
      </c>
    </row>
    <row r="44" spans="1:7">
      <c r="A44" s="2">
        <v>17</v>
      </c>
      <c r="B44" s="2">
        <v>674.299028791954</v>
      </c>
      <c r="C44" s="2">
        <v>35.7009712080463</v>
      </c>
      <c r="D44" s="2">
        <v>1.07334159376764</v>
      </c>
      <c r="F44" s="2">
        <v>55</v>
      </c>
      <c r="G44" s="2">
        <v>710</v>
      </c>
    </row>
    <row r="45" spans="1:7">
      <c r="A45" s="2">
        <v>18</v>
      </c>
      <c r="B45" s="2">
        <v>760.629942026365</v>
      </c>
      <c r="C45" s="2">
        <v>-40.6299420263649</v>
      </c>
      <c r="D45" s="2">
        <v>-1.22152998233943</v>
      </c>
      <c r="F45" s="2">
        <v>58.3333333333333</v>
      </c>
      <c r="G45" s="2">
        <v>720</v>
      </c>
    </row>
    <row r="46" spans="1:7">
      <c r="A46" s="2">
        <v>19</v>
      </c>
      <c r="B46" s="2">
        <v>764.596290874434</v>
      </c>
      <c r="C46" s="2">
        <v>-19.5962908744335</v>
      </c>
      <c r="D46" s="2">
        <v>-0.589158035968448</v>
      </c>
      <c r="F46" s="2">
        <v>61.6666666666667</v>
      </c>
      <c r="G46" s="2">
        <v>745</v>
      </c>
    </row>
    <row r="47" spans="1:7">
      <c r="A47" s="2">
        <v>20</v>
      </c>
      <c r="B47" s="2">
        <v>758.482481921432</v>
      </c>
      <c r="C47" s="2">
        <v>1.5175180785684</v>
      </c>
      <c r="D47" s="2">
        <v>0.0456238364925687</v>
      </c>
      <c r="F47" s="2">
        <v>65</v>
      </c>
      <c r="G47" s="2">
        <v>760</v>
      </c>
    </row>
    <row r="48" spans="1:7">
      <c r="A48" s="2">
        <v>21</v>
      </c>
      <c r="B48" s="2">
        <v>774.655835904418</v>
      </c>
      <c r="C48" s="2">
        <v>5.34416409558219</v>
      </c>
      <c r="D48" s="2">
        <v>0.160671080186613</v>
      </c>
      <c r="F48" s="2">
        <v>68.3333333333333</v>
      </c>
      <c r="G48" s="2">
        <v>780</v>
      </c>
    </row>
    <row r="49" spans="1:7">
      <c r="A49" s="2">
        <v>22</v>
      </c>
      <c r="B49" s="2">
        <v>799.486577006003</v>
      </c>
      <c r="C49" s="2">
        <v>40.513422993997</v>
      </c>
      <c r="D49" s="2">
        <v>1.21802686408594</v>
      </c>
      <c r="F49" s="2">
        <v>71.6666666666667</v>
      </c>
      <c r="G49" s="2">
        <v>840</v>
      </c>
    </row>
    <row r="50" spans="1:7">
      <c r="A50" s="2">
        <v>23</v>
      </c>
      <c r="B50" s="2">
        <v>855.541125869166</v>
      </c>
      <c r="C50" s="2">
        <v>-10.5411258691661</v>
      </c>
      <c r="D50" s="2">
        <v>-0.316916555983384</v>
      </c>
      <c r="F50" s="2">
        <v>75</v>
      </c>
      <c r="G50" s="2">
        <v>845</v>
      </c>
    </row>
    <row r="51" spans="1:7">
      <c r="A51" s="2">
        <v>24</v>
      </c>
      <c r="B51" s="2">
        <v>912.031338792498</v>
      </c>
      <c r="C51" s="2">
        <v>-62.0313387924975</v>
      </c>
      <c r="D51" s="2">
        <v>-1.86495811710785</v>
      </c>
      <c r="F51" s="2">
        <v>78.3333333333333</v>
      </c>
      <c r="G51" s="2">
        <v>850</v>
      </c>
    </row>
    <row r="52" spans="1:7">
      <c r="A52" s="2">
        <v>25</v>
      </c>
      <c r="B52" s="2">
        <v>902.626208242603</v>
      </c>
      <c r="C52" s="2">
        <v>-42.6262082426026</v>
      </c>
      <c r="D52" s="2">
        <v>-1.28154727289532</v>
      </c>
      <c r="F52" s="2">
        <v>81.6666666666667</v>
      </c>
      <c r="G52" s="2">
        <v>860</v>
      </c>
    </row>
    <row r="53" spans="1:7">
      <c r="A53" s="2">
        <v>26</v>
      </c>
      <c r="B53" s="2">
        <v>921.494970968094</v>
      </c>
      <c r="C53" s="2">
        <v>-31.4949709680942</v>
      </c>
      <c r="D53" s="2">
        <v>-0.946889151490106</v>
      </c>
      <c r="F53" s="2">
        <v>85</v>
      </c>
      <c r="G53" s="2">
        <v>890</v>
      </c>
    </row>
    <row r="54" spans="1:7">
      <c r="A54" s="2">
        <v>27</v>
      </c>
      <c r="B54" s="2">
        <v>928.209114698306</v>
      </c>
      <c r="C54" s="2">
        <v>11.7908853016937</v>
      </c>
      <c r="D54" s="2">
        <v>0.354490289575063</v>
      </c>
      <c r="F54" s="2">
        <v>88.3333333333333</v>
      </c>
      <c r="G54" s="2">
        <v>940</v>
      </c>
    </row>
    <row r="55" spans="1:7">
      <c r="A55" s="2">
        <v>28</v>
      </c>
      <c r="B55" s="2">
        <v>937.120570976538</v>
      </c>
      <c r="C55" s="2">
        <v>22.8794290234617</v>
      </c>
      <c r="D55" s="2">
        <v>0.68786483901035</v>
      </c>
      <c r="F55" s="2">
        <v>91.6666666666667</v>
      </c>
      <c r="G55" s="2">
        <v>960</v>
      </c>
    </row>
    <row r="56" spans="1:7">
      <c r="A56" s="2">
        <v>29</v>
      </c>
      <c r="B56" s="2">
        <v>940.582169153153</v>
      </c>
      <c r="C56" s="2">
        <v>39.417830846847</v>
      </c>
      <c r="D56" s="2">
        <v>1.18508813492677</v>
      </c>
      <c r="F56" s="2">
        <v>95</v>
      </c>
      <c r="G56" s="2">
        <v>980</v>
      </c>
    </row>
    <row r="57" ht="15.15" spans="1:7">
      <c r="A57" s="3">
        <v>30</v>
      </c>
      <c r="B57" s="3">
        <v>953.780307058725</v>
      </c>
      <c r="C57" s="3">
        <v>36.2196929412751</v>
      </c>
      <c r="D57" s="3">
        <v>1.0889368449058</v>
      </c>
      <c r="F57" s="3">
        <v>98.3333333333333</v>
      </c>
      <c r="G57" s="3">
        <v>990</v>
      </c>
    </row>
  </sheetData>
  <sortState ref="G28:G57">
    <sortCondition ref="G28"/>
  </sortState>
  <pageMargins left="0.7" right="0.7" top="0.75" bottom="0.75" header="0.3" footer="0.3"/>
  <headerFooter/>
  <drawing r:id="rId1"/>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M81"/>
  <sheetViews>
    <sheetView zoomScale="80" zoomScaleNormal="80" workbookViewId="0">
      <selection activeCell="G4" sqref="G4"/>
    </sheetView>
  </sheetViews>
  <sheetFormatPr defaultColWidth="9" defaultRowHeight="14.4"/>
  <cols>
    <col min="1" max="1" width="57.8888888888889" customWidth="1"/>
    <col min="11" max="11" width="11" customWidth="1"/>
  </cols>
  <sheetData>
    <row r="1" ht="144" spans="1:13">
      <c r="A1" s="5" t="s">
        <v>33</v>
      </c>
      <c r="B1" s="6" t="s">
        <v>34</v>
      </c>
      <c r="C1" s="6" t="s">
        <v>36</v>
      </c>
      <c r="D1" s="33" t="s">
        <v>37</v>
      </c>
      <c r="E1" s="6" t="s">
        <v>43</v>
      </c>
    </row>
    <row r="2" spans="1:13">
      <c r="A2" s="7">
        <v>1</v>
      </c>
      <c r="B2" s="7">
        <v>335</v>
      </c>
      <c r="C2" s="7">
        <v>500</v>
      </c>
      <c r="D2" s="7">
        <v>1340</v>
      </c>
      <c r="E2" s="7">
        <v>96</v>
      </c>
    </row>
    <row r="3" spans="1:13">
      <c r="A3" s="7">
        <v>2</v>
      </c>
      <c r="B3" s="7">
        <v>336</v>
      </c>
      <c r="C3" s="7">
        <v>510</v>
      </c>
      <c r="D3" s="7">
        <v>1560</v>
      </c>
      <c r="E3" s="7">
        <v>97</v>
      </c>
      <c r="I3" s="8"/>
      <c r="J3" s="8"/>
      <c r="K3" s="9"/>
      <c r="L3" s="9"/>
      <c r="M3" s="9"/>
    </row>
    <row r="4" spans="1:13">
      <c r="A4" s="7">
        <v>3</v>
      </c>
      <c r="B4" s="7">
        <v>388</v>
      </c>
      <c r="C4" s="7">
        <v>509</v>
      </c>
      <c r="D4" s="7">
        <v>1590</v>
      </c>
      <c r="E4" s="7">
        <v>96</v>
      </c>
      <c r="I4" s="8"/>
      <c r="J4" s="8"/>
      <c r="K4" s="9"/>
      <c r="L4" s="9"/>
      <c r="M4" s="9"/>
    </row>
    <row r="5" spans="1:13">
      <c r="A5" s="7">
        <v>4</v>
      </c>
      <c r="B5" s="7">
        <v>420</v>
      </c>
      <c r="C5" s="7">
        <v>515</v>
      </c>
      <c r="D5" s="7">
        <v>1680</v>
      </c>
      <c r="E5" s="7">
        <v>93</v>
      </c>
      <c r="I5" s="8"/>
      <c r="J5" s="8"/>
      <c r="K5" s="9"/>
      <c r="L5" s="9"/>
      <c r="M5" s="9"/>
    </row>
    <row r="6" spans="1:13">
      <c r="A6" s="7">
        <v>5</v>
      </c>
      <c r="B6" s="7">
        <v>450</v>
      </c>
      <c r="C6" s="7">
        <v>520</v>
      </c>
      <c r="D6" s="7">
        <v>1450</v>
      </c>
      <c r="E6" s="7">
        <v>93</v>
      </c>
      <c r="I6" s="8"/>
      <c r="J6" s="8"/>
      <c r="K6" s="9"/>
      <c r="L6" s="9"/>
      <c r="M6" s="9"/>
    </row>
    <row r="7" spans="1:13">
      <c r="A7" s="7">
        <v>6</v>
      </c>
      <c r="B7" s="7">
        <v>450</v>
      </c>
      <c r="C7" s="7">
        <v>519</v>
      </c>
      <c r="D7" s="7">
        <v>1600</v>
      </c>
      <c r="E7" s="7">
        <v>94</v>
      </c>
      <c r="I7" s="8"/>
      <c r="J7" s="8"/>
      <c r="K7" s="9"/>
      <c r="L7" s="9"/>
      <c r="M7" s="9"/>
    </row>
    <row r="8" spans="1:13">
      <c r="A8" s="7">
        <v>7</v>
      </c>
      <c r="B8" s="7">
        <v>500</v>
      </c>
      <c r="C8" s="7">
        <v>525</v>
      </c>
      <c r="D8" s="7">
        <v>1200</v>
      </c>
      <c r="E8" s="7">
        <v>95</v>
      </c>
      <c r="I8" s="10"/>
      <c r="J8" s="10"/>
      <c r="K8" s="11"/>
      <c r="L8" s="10"/>
      <c r="M8" s="10"/>
    </row>
    <row r="9" spans="1:13">
      <c r="A9" s="7">
        <v>8</v>
      </c>
      <c r="B9" s="7">
        <v>520</v>
      </c>
      <c r="C9" s="7">
        <v>526</v>
      </c>
      <c r="D9" s="7">
        <v>1280</v>
      </c>
      <c r="E9" s="7">
        <v>95</v>
      </c>
    </row>
    <row r="10" spans="1:13">
      <c r="A10" s="7">
        <v>9</v>
      </c>
      <c r="B10" s="7">
        <v>550</v>
      </c>
      <c r="C10" s="7">
        <v>530</v>
      </c>
      <c r="D10" s="7">
        <v>1560</v>
      </c>
      <c r="E10" s="7">
        <v>95</v>
      </c>
    </row>
    <row r="11" spans="1:13">
      <c r="A11" s="7">
        <v>10</v>
      </c>
      <c r="B11" s="7">
        <v>600</v>
      </c>
      <c r="C11" s="7">
        <v>550</v>
      </c>
      <c r="D11" s="7">
        <v>1680</v>
      </c>
      <c r="E11" s="7">
        <v>95</v>
      </c>
    </row>
    <row r="12" spans="1:13">
      <c r="A12" s="7">
        <v>11</v>
      </c>
      <c r="B12" s="7">
        <v>605</v>
      </c>
      <c r="C12" s="7">
        <v>570</v>
      </c>
      <c r="D12" s="7">
        <v>1780</v>
      </c>
      <c r="E12" s="7">
        <v>88</v>
      </c>
    </row>
    <row r="13" spans="1:13">
      <c r="A13" s="7">
        <v>12</v>
      </c>
      <c r="B13" s="7">
        <v>620</v>
      </c>
      <c r="C13" s="7">
        <v>560</v>
      </c>
      <c r="D13" s="7">
        <v>1890</v>
      </c>
      <c r="E13" s="7">
        <v>85</v>
      </c>
    </row>
    <row r="14" spans="1:13">
      <c r="A14" s="7">
        <v>13</v>
      </c>
      <c r="B14" s="7">
        <v>630</v>
      </c>
      <c r="C14" s="7">
        <v>555</v>
      </c>
      <c r="D14" s="7">
        <v>1580</v>
      </c>
      <c r="E14" s="7">
        <v>72</v>
      </c>
    </row>
    <row r="15" spans="1:13">
      <c r="A15" s="7">
        <v>14</v>
      </c>
      <c r="B15" s="7">
        <v>655</v>
      </c>
      <c r="C15" s="7">
        <v>555</v>
      </c>
      <c r="D15" s="7">
        <v>1760</v>
      </c>
      <c r="E15" s="7">
        <v>68</v>
      </c>
    </row>
    <row r="16" spans="1:13">
      <c r="A16" s="7">
        <v>15</v>
      </c>
      <c r="B16" s="7">
        <v>690</v>
      </c>
      <c r="C16" s="7">
        <v>560</v>
      </c>
      <c r="D16" s="7">
        <v>1340</v>
      </c>
      <c r="E16" s="7">
        <v>66</v>
      </c>
    </row>
    <row r="17" spans="1:5">
      <c r="A17" s="7">
        <v>16</v>
      </c>
      <c r="B17" s="7">
        <v>690</v>
      </c>
      <c r="C17" s="7">
        <v>560</v>
      </c>
      <c r="D17" s="7">
        <v>1670</v>
      </c>
      <c r="E17" s="7">
        <v>62</v>
      </c>
    </row>
    <row r="18" spans="1:5">
      <c r="A18" s="7">
        <v>17</v>
      </c>
      <c r="B18" s="7">
        <v>710</v>
      </c>
      <c r="C18" s="7">
        <v>562</v>
      </c>
      <c r="D18" s="7">
        <v>1350</v>
      </c>
      <c r="E18" s="7">
        <v>60</v>
      </c>
    </row>
    <row r="19" spans="1:5">
      <c r="A19" s="7">
        <v>18</v>
      </c>
      <c r="B19" s="7">
        <v>720</v>
      </c>
      <c r="C19" s="7">
        <v>580</v>
      </c>
      <c r="D19" s="7">
        <v>1240</v>
      </c>
      <c r="E19" s="7">
        <v>60</v>
      </c>
    </row>
    <row r="20" spans="1:5">
      <c r="A20" s="7">
        <v>19</v>
      </c>
      <c r="B20" s="7">
        <v>745</v>
      </c>
      <c r="C20" s="7">
        <v>581</v>
      </c>
      <c r="D20" s="7">
        <v>1450</v>
      </c>
      <c r="E20" s="7">
        <v>70</v>
      </c>
    </row>
    <row r="21" spans="1:5">
      <c r="A21" s="7">
        <v>20</v>
      </c>
      <c r="B21" s="7">
        <v>760</v>
      </c>
      <c r="C21" s="7">
        <v>582</v>
      </c>
      <c r="D21" s="7">
        <v>1670</v>
      </c>
      <c r="E21" s="7">
        <v>80</v>
      </c>
    </row>
    <row r="22" spans="1:5">
      <c r="A22" s="7">
        <v>21</v>
      </c>
      <c r="B22" s="7">
        <v>780</v>
      </c>
      <c r="C22" s="7">
        <v>585</v>
      </c>
      <c r="D22" s="7">
        <v>1280</v>
      </c>
      <c r="E22" s="7">
        <v>87</v>
      </c>
    </row>
    <row r="23" spans="1:5">
      <c r="A23" s="7">
        <v>22</v>
      </c>
      <c r="B23" s="7">
        <v>840</v>
      </c>
      <c r="C23" s="7">
        <v>590</v>
      </c>
      <c r="D23" s="7">
        <v>1340</v>
      </c>
      <c r="E23" s="7">
        <v>89</v>
      </c>
    </row>
    <row r="24" spans="1:5">
      <c r="A24" s="7">
        <v>23</v>
      </c>
      <c r="B24" s="7">
        <v>845</v>
      </c>
      <c r="C24" s="7">
        <v>601</v>
      </c>
      <c r="D24" s="7">
        <v>1450</v>
      </c>
      <c r="E24" s="7">
        <v>89</v>
      </c>
    </row>
    <row r="25" spans="1:5">
      <c r="A25" s="7">
        <v>24</v>
      </c>
      <c r="B25" s="7">
        <v>850</v>
      </c>
      <c r="C25" s="7">
        <v>612</v>
      </c>
      <c r="D25" s="7">
        <v>1450</v>
      </c>
      <c r="E25" s="7">
        <v>89</v>
      </c>
    </row>
    <row r="26" spans="1:5">
      <c r="A26" s="7">
        <v>25</v>
      </c>
      <c r="B26" s="7">
        <v>860</v>
      </c>
      <c r="C26" s="7">
        <v>610</v>
      </c>
      <c r="D26" s="7">
        <v>1670</v>
      </c>
      <c r="E26" s="7">
        <v>87</v>
      </c>
    </row>
    <row r="27" spans="1:5">
      <c r="A27" s="7">
        <v>26</v>
      </c>
      <c r="B27" s="7">
        <v>890</v>
      </c>
      <c r="C27" s="7">
        <v>611</v>
      </c>
      <c r="D27" s="7">
        <v>1330</v>
      </c>
      <c r="E27" s="7">
        <v>83</v>
      </c>
    </row>
    <row r="28" spans="1:5">
      <c r="A28" s="7">
        <v>27</v>
      </c>
      <c r="B28" s="7">
        <v>940</v>
      </c>
      <c r="C28" s="7">
        <v>615</v>
      </c>
      <c r="D28" s="7">
        <v>1560</v>
      </c>
      <c r="E28" s="7">
        <v>88</v>
      </c>
    </row>
    <row r="29" spans="1:5">
      <c r="A29" s="7">
        <v>28</v>
      </c>
      <c r="B29" s="7">
        <v>960</v>
      </c>
      <c r="C29" s="7">
        <v>620</v>
      </c>
      <c r="D29" s="7">
        <v>1760</v>
      </c>
      <c r="E29" s="7">
        <v>96</v>
      </c>
    </row>
    <row r="30" spans="1:5">
      <c r="A30" s="7">
        <v>29</v>
      </c>
      <c r="B30" s="7">
        <v>980</v>
      </c>
      <c r="C30" s="7">
        <v>621</v>
      </c>
      <c r="D30" s="7">
        <v>1650</v>
      </c>
      <c r="E30" s="7">
        <v>97</v>
      </c>
    </row>
    <row r="31" spans="1:5">
      <c r="A31" s="7">
        <v>30</v>
      </c>
      <c r="B31" s="7">
        <v>990</v>
      </c>
      <c r="C31" s="7">
        <v>622</v>
      </c>
      <c r="D31" s="7">
        <v>1890</v>
      </c>
      <c r="E31" s="7">
        <v>90</v>
      </c>
    </row>
    <row r="32" ht="15.15"/>
    <row r="33" customHeight="1" spans="1:9">
      <c r="A33" s="4"/>
      <c r="B33" s="4" t="s">
        <v>34</v>
      </c>
      <c r="C33" s="4" t="s">
        <v>36</v>
      </c>
      <c r="D33" s="4" t="s">
        <v>37</v>
      </c>
      <c r="E33" s="4" t="s">
        <v>43</v>
      </c>
    </row>
    <row r="34" spans="1:9">
      <c r="A34" s="2" t="s">
        <v>34</v>
      </c>
      <c r="B34" s="2">
        <v>1</v>
      </c>
      <c r="C34" s="2">
        <f t="array" ref="C34:E34">TRANSPOSE(B35:B37)</f>
        <v>0.983720697847245</v>
      </c>
      <c r="D34" s="2">
        <v>0.13327651079711</v>
      </c>
      <c r="E34" s="2">
        <v>-0.208003633223321</v>
      </c>
    </row>
    <row r="35" spans="1:9">
      <c r="A35" s="2" t="s">
        <v>36</v>
      </c>
      <c r="B35" s="2">
        <v>0.983720697847245</v>
      </c>
      <c r="C35" s="2">
        <v>1</v>
      </c>
      <c r="D35" s="2">
        <f t="array" ref="D35:E35">TRANSPOSE(C36:C37)</f>
        <v>0.166930834502891</v>
      </c>
      <c r="E35" s="2">
        <v>-0.175915406454601</v>
      </c>
    </row>
    <row r="36" spans="1:9">
      <c r="A36" s="2" t="s">
        <v>37</v>
      </c>
      <c r="B36" s="2">
        <v>0.13327651079711</v>
      </c>
      <c r="C36" s="2">
        <v>0.166930834502891</v>
      </c>
      <c r="D36" s="2">
        <v>1</v>
      </c>
      <c r="E36" s="2">
        <f>D37</f>
        <v>0.1416547452213</v>
      </c>
    </row>
    <row r="37" ht="15.15" spans="1:9">
      <c r="A37" s="3" t="s">
        <v>43</v>
      </c>
      <c r="B37" s="3">
        <v>-0.208003633223321</v>
      </c>
      <c r="C37" s="3">
        <v>-0.175915406454601</v>
      </c>
      <c r="D37" s="3">
        <v>0.1416547452213</v>
      </c>
      <c r="E37" s="3">
        <v>1</v>
      </c>
    </row>
    <row r="39" customHeight="1" spans="1:9">
      <c r="A39" s="28" t="s">
        <v>85</v>
      </c>
      <c r="B39" s="28"/>
      <c r="C39" s="28"/>
      <c r="D39" s="28"/>
      <c r="E39" s="28"/>
    </row>
    <row r="40" spans="1:9">
      <c r="A40" s="28"/>
      <c r="B40" s="28"/>
      <c r="C40" s="28"/>
      <c r="D40" s="28"/>
      <c r="E40" s="28"/>
    </row>
    <row r="41" spans="1:9">
      <c r="A41" s="28"/>
      <c r="B41" s="28"/>
      <c r="C41" s="28"/>
      <c r="D41" s="28"/>
      <c r="E41" s="28"/>
    </row>
    <row r="42" spans="1:9">
      <c r="A42" s="28"/>
      <c r="B42" s="28"/>
      <c r="C42" s="28"/>
      <c r="D42" s="28"/>
      <c r="E42" s="28"/>
    </row>
    <row r="43" spans="1:9">
      <c r="A43" s="28"/>
      <c r="B43" s="28"/>
      <c r="C43" s="28"/>
      <c r="D43" s="28"/>
      <c r="E43" s="28"/>
    </row>
    <row r="44" spans="1:9">
      <c r="A44" s="28"/>
      <c r="B44" s="28"/>
      <c r="C44" s="28"/>
      <c r="D44" s="28"/>
      <c r="E44" s="28"/>
    </row>
    <row r="45" spans="1:9">
      <c r="A45" s="28"/>
      <c r="B45" s="28"/>
      <c r="C45" s="28"/>
      <c r="D45" s="28"/>
      <c r="E45" s="28"/>
    </row>
    <row r="46" spans="1:9">
      <c r="A46" s="28"/>
      <c r="B46" s="28"/>
      <c r="C46" s="28"/>
      <c r="D46" s="28"/>
      <c r="E46" s="28"/>
    </row>
    <row r="47" spans="1:9">
      <c r="A47" s="28"/>
      <c r="B47" s="28"/>
      <c r="C47" s="28"/>
      <c r="D47" s="28"/>
      <c r="E47" s="28"/>
    </row>
    <row r="48" spans="1:9">
      <c r="A48" s="28"/>
      <c r="B48" s="28"/>
      <c r="C48" s="28"/>
      <c r="D48" s="28"/>
      <c r="E48" s="28"/>
      <c r="F48" s="34"/>
      <c r="G48" s="34"/>
      <c r="H48" s="34"/>
      <c r="I48" s="34"/>
    </row>
    <row r="49" spans="1:9">
      <c r="A49" s="34"/>
      <c r="B49" s="34"/>
      <c r="C49" s="34"/>
      <c r="D49" s="34"/>
      <c r="E49" s="34"/>
      <c r="F49" s="34"/>
      <c r="G49" s="34"/>
      <c r="H49" s="34"/>
      <c r="I49" s="34"/>
    </row>
    <row r="50" spans="1:9">
      <c r="A50" s="28" t="s">
        <v>86</v>
      </c>
      <c r="B50" s="28"/>
      <c r="C50" s="28"/>
      <c r="D50" s="28"/>
      <c r="E50" s="28"/>
      <c r="F50" s="34"/>
      <c r="G50" s="34"/>
      <c r="H50" s="34"/>
      <c r="I50" s="34"/>
    </row>
    <row r="51" ht="15.6" customHeight="1" spans="1:9">
      <c r="A51" s="28"/>
      <c r="B51" s="28"/>
      <c r="C51" s="28"/>
      <c r="D51" s="28"/>
      <c r="E51" s="28"/>
      <c r="F51" s="35"/>
      <c r="G51" s="35"/>
      <c r="H51" s="34"/>
      <c r="I51" s="34"/>
    </row>
    <row r="52" spans="1:9">
      <c r="A52" s="28"/>
      <c r="B52" s="28"/>
      <c r="C52" s="28"/>
      <c r="D52" s="28"/>
      <c r="E52" s="28"/>
      <c r="F52" s="36"/>
      <c r="G52" s="36"/>
      <c r="H52" s="34"/>
      <c r="I52" s="34"/>
    </row>
    <row r="53" spans="1:9">
      <c r="A53" s="28"/>
      <c r="B53" s="28"/>
      <c r="C53" s="28"/>
      <c r="D53" s="28"/>
      <c r="E53" s="28"/>
      <c r="F53" s="36"/>
      <c r="G53" s="36"/>
      <c r="H53" s="34"/>
      <c r="I53" s="34"/>
    </row>
    <row r="54" spans="1:9">
      <c r="A54" s="28"/>
      <c r="B54" s="28"/>
      <c r="C54" s="28"/>
      <c r="D54" s="28"/>
      <c r="E54" s="28"/>
      <c r="F54" s="36"/>
      <c r="G54" s="36"/>
      <c r="H54" s="34"/>
      <c r="I54" s="34"/>
    </row>
    <row r="55" spans="1:9">
      <c r="A55" s="28"/>
      <c r="B55" s="28"/>
      <c r="C55" s="28"/>
      <c r="D55" s="28"/>
      <c r="E55" s="28"/>
      <c r="F55" s="36"/>
      <c r="G55" s="36"/>
      <c r="H55" s="34"/>
      <c r="I55" s="34"/>
    </row>
    <row r="56" spans="1:9">
      <c r="A56" s="28"/>
      <c r="B56" s="28"/>
      <c r="C56" s="28"/>
      <c r="D56" s="28"/>
      <c r="E56" s="28"/>
      <c r="F56" s="36"/>
      <c r="G56" s="36"/>
      <c r="H56" s="34"/>
      <c r="I56" s="34"/>
    </row>
    <row r="57" spans="1:9">
      <c r="A57" s="28"/>
      <c r="B57" s="28"/>
      <c r="C57" s="28"/>
      <c r="D57" s="28"/>
      <c r="E57" s="28"/>
      <c r="F57" s="36"/>
      <c r="G57" s="36"/>
      <c r="H57" s="34"/>
      <c r="I57" s="34"/>
    </row>
    <row r="58" spans="1:9">
      <c r="A58" s="34"/>
      <c r="B58" s="34"/>
      <c r="C58" s="36"/>
      <c r="D58" s="36"/>
      <c r="E58" s="36"/>
      <c r="F58" s="36"/>
      <c r="G58" s="36"/>
      <c r="H58" s="34"/>
      <c r="I58" s="34"/>
    </row>
    <row r="59" spans="1:9">
      <c r="A59" s="28" t="s">
        <v>87</v>
      </c>
      <c r="B59" s="28"/>
      <c r="C59" s="28"/>
      <c r="D59" s="28"/>
      <c r="E59" s="28"/>
      <c r="F59" s="36"/>
      <c r="G59" s="36"/>
      <c r="H59" s="34"/>
      <c r="I59" s="34"/>
    </row>
    <row r="60" spans="1:9">
      <c r="A60" s="28"/>
      <c r="B60" s="28"/>
      <c r="C60" s="28"/>
      <c r="D60" s="28"/>
      <c r="E60" s="28"/>
      <c r="F60" s="36"/>
      <c r="G60" s="36"/>
      <c r="H60" s="34"/>
      <c r="I60" s="34"/>
    </row>
    <row r="61" spans="1:9">
      <c r="A61" s="28"/>
      <c r="B61" s="28"/>
      <c r="C61" s="28"/>
      <c r="D61" s="28"/>
      <c r="E61" s="28"/>
      <c r="F61" s="36"/>
      <c r="G61" s="36"/>
      <c r="H61" s="34"/>
      <c r="I61" s="34"/>
    </row>
    <row r="62" spans="1:9">
      <c r="A62" s="28"/>
      <c r="B62" s="28"/>
      <c r="C62" s="28"/>
      <c r="D62" s="28"/>
      <c r="E62" s="28"/>
      <c r="F62" s="36"/>
      <c r="G62" s="36"/>
      <c r="H62" s="34"/>
      <c r="I62" s="34"/>
    </row>
    <row r="63" spans="1:9">
      <c r="A63" s="28"/>
      <c r="B63" s="28"/>
      <c r="C63" s="28"/>
      <c r="D63" s="28"/>
      <c r="E63" s="28"/>
      <c r="F63" s="36"/>
      <c r="G63" s="36"/>
      <c r="H63" s="34"/>
      <c r="I63" s="34"/>
    </row>
    <row r="64" spans="1:9">
      <c r="A64" s="28"/>
      <c r="B64" s="28"/>
      <c r="C64" s="28"/>
      <c r="D64" s="28"/>
      <c r="E64" s="28"/>
      <c r="F64" s="36"/>
      <c r="G64" s="36"/>
      <c r="H64" s="34"/>
      <c r="I64" s="34"/>
    </row>
    <row r="65" spans="1:9">
      <c r="A65" s="28"/>
      <c r="B65" s="28"/>
      <c r="C65" s="28"/>
      <c r="D65" s="28"/>
      <c r="E65" s="28"/>
      <c r="F65" s="36"/>
      <c r="G65" s="36"/>
      <c r="H65" s="34"/>
      <c r="I65" s="34"/>
    </row>
    <row r="66" spans="1:9">
      <c r="A66" s="34"/>
      <c r="B66" s="34"/>
      <c r="C66" s="36"/>
      <c r="D66" s="36"/>
      <c r="E66" s="36"/>
      <c r="F66" s="36"/>
      <c r="G66" s="36"/>
      <c r="H66" s="34"/>
      <c r="I66" s="34"/>
    </row>
    <row r="67" spans="1:9">
      <c r="A67" s="34"/>
      <c r="B67" s="34"/>
      <c r="C67" s="36"/>
      <c r="D67" s="36"/>
      <c r="E67" s="36"/>
      <c r="F67" s="36"/>
      <c r="G67" s="36"/>
      <c r="H67" s="34"/>
      <c r="I67" s="34"/>
    </row>
    <row r="68" spans="1:9">
      <c r="A68" s="34"/>
      <c r="B68" s="34"/>
      <c r="C68" s="36"/>
      <c r="D68" s="36"/>
      <c r="E68" s="36"/>
      <c r="F68" s="36"/>
      <c r="G68" s="36"/>
      <c r="H68" s="34"/>
      <c r="I68" s="34"/>
    </row>
    <row r="69" spans="1:9">
      <c r="A69" s="34"/>
      <c r="B69" s="34"/>
      <c r="C69" s="36"/>
      <c r="D69" s="36"/>
      <c r="E69" s="36"/>
      <c r="F69" s="36"/>
      <c r="G69" s="36"/>
      <c r="H69" s="34"/>
      <c r="I69" s="34"/>
    </row>
    <row r="70" spans="1:9">
      <c r="A70" s="34"/>
      <c r="B70" s="34"/>
      <c r="C70" s="36"/>
      <c r="D70" s="36"/>
      <c r="E70" s="36"/>
      <c r="F70" s="36"/>
      <c r="G70" s="36"/>
      <c r="H70" s="34"/>
      <c r="I70" s="34"/>
    </row>
    <row r="71" spans="1:9">
      <c r="A71" s="34"/>
      <c r="B71" s="34"/>
      <c r="C71" s="36"/>
      <c r="D71" s="36"/>
      <c r="E71" s="36"/>
      <c r="F71" s="36"/>
      <c r="G71" s="36"/>
      <c r="H71" s="34"/>
      <c r="I71" s="34"/>
    </row>
    <row r="72" spans="1:9">
      <c r="A72" s="34"/>
      <c r="B72" s="34"/>
      <c r="C72" s="36"/>
      <c r="D72" s="36"/>
      <c r="E72" s="36"/>
      <c r="F72" s="36"/>
      <c r="G72" s="36"/>
      <c r="H72" s="34"/>
      <c r="I72" s="34"/>
    </row>
    <row r="73" spans="1:9">
      <c r="A73" s="34"/>
      <c r="B73" s="34"/>
      <c r="C73" s="36"/>
      <c r="D73" s="36"/>
      <c r="E73" s="36"/>
      <c r="F73" s="36"/>
      <c r="G73" s="36"/>
      <c r="H73" s="34"/>
      <c r="I73" s="34"/>
    </row>
    <row r="74" spans="1:9">
      <c r="A74" s="34"/>
      <c r="B74" s="34"/>
      <c r="C74" s="36"/>
      <c r="D74" s="36"/>
      <c r="E74" s="36"/>
      <c r="F74" s="36"/>
      <c r="G74" s="36"/>
      <c r="H74" s="34"/>
      <c r="I74" s="34"/>
    </row>
    <row r="75" spans="1:9">
      <c r="A75" s="34"/>
      <c r="B75" s="34"/>
      <c r="C75" s="36"/>
      <c r="D75" s="36"/>
      <c r="E75" s="36"/>
      <c r="F75" s="36"/>
      <c r="G75" s="36"/>
      <c r="H75" s="34"/>
      <c r="I75" s="34"/>
    </row>
    <row r="76" spans="1:9">
      <c r="A76" s="34"/>
      <c r="B76" s="34"/>
      <c r="C76" s="36"/>
      <c r="D76" s="36"/>
      <c r="E76" s="36"/>
      <c r="F76" s="36"/>
      <c r="G76" s="36"/>
      <c r="H76" s="34"/>
      <c r="I76" s="34"/>
    </row>
    <row r="77" spans="1:9">
      <c r="A77" s="34"/>
      <c r="B77" s="34"/>
      <c r="C77" s="36"/>
      <c r="D77" s="36"/>
      <c r="E77" s="36"/>
      <c r="F77" s="36"/>
      <c r="G77" s="36"/>
      <c r="H77" s="34"/>
      <c r="I77" s="34"/>
    </row>
    <row r="78" spans="1:9">
      <c r="A78" s="34"/>
      <c r="B78" s="34"/>
      <c r="C78" s="36"/>
      <c r="D78" s="36"/>
      <c r="E78" s="36"/>
      <c r="F78" s="36"/>
      <c r="G78" s="36"/>
      <c r="H78" s="34"/>
      <c r="I78" s="34"/>
    </row>
    <row r="79" spans="1:9">
      <c r="A79" s="34"/>
      <c r="B79" s="34"/>
      <c r="C79" s="36"/>
      <c r="D79" s="36"/>
      <c r="E79" s="36"/>
      <c r="F79" s="36"/>
      <c r="G79" s="36"/>
      <c r="H79" s="34"/>
      <c r="I79" s="34"/>
    </row>
    <row r="80" spans="1:9">
      <c r="A80" s="34"/>
      <c r="B80" s="34"/>
      <c r="C80" s="36"/>
      <c r="D80" s="36"/>
      <c r="E80" s="36"/>
      <c r="F80" s="36"/>
      <c r="G80" s="36"/>
      <c r="H80" s="34"/>
      <c r="I80" s="34"/>
    </row>
    <row r="81" spans="1:9">
      <c r="A81" s="34"/>
      <c r="B81" s="34"/>
      <c r="C81" s="36"/>
      <c r="D81" s="36"/>
      <c r="E81" s="36"/>
      <c r="F81" s="36"/>
      <c r="G81" s="36"/>
      <c r="H81" s="34"/>
      <c r="I81" s="34"/>
    </row>
  </sheetData>
  <mergeCells count="3">
    <mergeCell ref="A59:E65"/>
    <mergeCell ref="A50:E57"/>
    <mergeCell ref="A39:E48"/>
  </mergeCells>
  <conditionalFormatting sqref="B34:E37">
    <cfRule type="cellIs" dxfId="0" priority="1" operator="notBetween">
      <formula>-0.7</formula>
      <formula>0.7</formula>
    </cfRule>
  </conditionalFormatting>
  <pageMargins left="0.7" right="0.7" top="0.75" bottom="0.75" header="0.3" footer="0.3"/>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56"/>
  <sheetViews>
    <sheetView topLeftCell="A43" workbookViewId="0">
      <selection activeCell="C22" sqref="C22"/>
    </sheetView>
  </sheetViews>
  <sheetFormatPr defaultColWidth="9" defaultRowHeight="14.4"/>
  <cols>
    <col min="1" max="1" width="55.5555555555556" customWidth="1"/>
    <col min="2" max="2" width="33.1111111111111" customWidth="1"/>
    <col min="3" max="3" width="21" customWidth="1"/>
    <col min="4" max="4" width="22.6666666666667" customWidth="1"/>
    <col min="5" max="5" width="12" customWidth="1"/>
  </cols>
  <sheetData>
    <row r="1" spans="1:9">
      <c r="A1" t="s">
        <v>51</v>
      </c>
    </row>
    <row r="2" ht="15.15"/>
    <row r="3" spans="1:9">
      <c r="A3" s="1" t="s">
        <v>52</v>
      </c>
      <c r="B3" s="1"/>
    </row>
    <row r="4" spans="1:9">
      <c r="A4" s="2" t="s">
        <v>53</v>
      </c>
      <c r="B4" s="2">
        <v>0.984692005766231</v>
      </c>
    </row>
    <row r="5" spans="1:9">
      <c r="A5" s="2" t="s">
        <v>54</v>
      </c>
      <c r="B5" s="2">
        <v>0.969618346219922</v>
      </c>
    </row>
    <row r="6" spans="1:9">
      <c r="A6" s="2" t="s">
        <v>55</v>
      </c>
      <c r="B6" s="2">
        <v>0.966112770783759</v>
      </c>
    </row>
    <row r="7" spans="1:9">
      <c r="A7" s="2" t="s">
        <v>56</v>
      </c>
      <c r="B7" s="2">
        <v>35.9018168641061</v>
      </c>
    </row>
    <row r="8" ht="15.15" spans="1:9">
      <c r="A8" s="3" t="s">
        <v>57</v>
      </c>
      <c r="B8" s="3">
        <v>30</v>
      </c>
    </row>
    <row r="10" ht="15.15" spans="1:9">
      <c r="A10" t="s">
        <v>58</v>
      </c>
    </row>
    <row r="11" spans="1:9">
      <c r="A11" s="4"/>
      <c r="B11" s="4" t="s">
        <v>59</v>
      </c>
      <c r="C11" s="4" t="s">
        <v>60</v>
      </c>
      <c r="D11" s="4" t="s">
        <v>61</v>
      </c>
      <c r="E11" s="4" t="s">
        <v>62</v>
      </c>
      <c r="F11" s="4" t="s">
        <v>63</v>
      </c>
    </row>
    <row r="12" spans="1:9">
      <c r="A12" s="2" t="s">
        <v>64</v>
      </c>
      <c r="B12" s="2">
        <v>3</v>
      </c>
      <c r="C12" s="2">
        <v>1069536.51485893</v>
      </c>
      <c r="D12" s="2">
        <v>356512.171619642</v>
      </c>
      <c r="E12" s="2">
        <v>276.593205274527</v>
      </c>
      <c r="F12" s="2">
        <v>7.75133025401769e-20</v>
      </c>
    </row>
    <row r="13" spans="1:9">
      <c r="A13" s="2" t="s">
        <v>65</v>
      </c>
      <c r="B13" s="2">
        <v>26</v>
      </c>
      <c r="C13" s="2">
        <v>33512.4518077392</v>
      </c>
      <c r="D13" s="2">
        <v>1288.94045414381</v>
      </c>
      <c r="E13" s="2"/>
      <c r="F13" s="2"/>
    </row>
    <row r="14" ht="15.15" spans="1:9">
      <c r="A14" s="3" t="s">
        <v>66</v>
      </c>
      <c r="B14" s="3">
        <v>29</v>
      </c>
      <c r="C14" s="3">
        <v>1103048.96666667</v>
      </c>
      <c r="D14" s="3"/>
      <c r="E14" s="3"/>
      <c r="F14" s="3"/>
    </row>
    <row r="15" ht="15.15"/>
    <row r="16" spans="1:9">
      <c r="A16" s="4"/>
      <c r="B16" s="4" t="s">
        <v>67</v>
      </c>
      <c r="C16" s="4" t="s">
        <v>56</v>
      </c>
      <c r="D16" s="4" t="s">
        <v>68</v>
      </c>
      <c r="E16" s="4" t="s">
        <v>69</v>
      </c>
      <c r="F16" s="4" t="s">
        <v>70</v>
      </c>
      <c r="G16" s="4" t="s">
        <v>71</v>
      </c>
      <c r="H16" s="4" t="s">
        <v>72</v>
      </c>
      <c r="I16" s="4" t="s">
        <v>73</v>
      </c>
    </row>
    <row r="17" spans="1:9">
      <c r="A17" s="2" t="s">
        <v>74</v>
      </c>
      <c r="B17" s="2">
        <v>-2043.38031395038</v>
      </c>
      <c r="C17" s="2">
        <v>120.446543114977</v>
      </c>
      <c r="D17" s="2">
        <v>-16.9650391045244</v>
      </c>
      <c r="E17" s="2">
        <v>1.39832259484205e-15</v>
      </c>
      <c r="F17" s="2">
        <v>-2290.96172910598</v>
      </c>
      <c r="G17" s="2">
        <v>-1795.79889879477</v>
      </c>
      <c r="H17" s="2">
        <v>-2290.96172910598</v>
      </c>
      <c r="I17" s="2">
        <v>-1795.79889879477</v>
      </c>
    </row>
    <row r="18" spans="1:9">
      <c r="A18" s="2" t="s">
        <v>36</v>
      </c>
      <c r="B18" s="2">
        <v>4.96179463355057</v>
      </c>
      <c r="C18" s="2">
        <v>0.178854259832665</v>
      </c>
      <c r="D18" s="2">
        <v>27.7421104657658</v>
      </c>
      <c r="E18" s="2">
        <v>7.62810785160559e-21</v>
      </c>
      <c r="F18" s="2">
        <v>4.59415443723785</v>
      </c>
      <c r="G18" s="2">
        <v>5.3294348298633</v>
      </c>
      <c r="H18" s="2">
        <v>4.59415443723785</v>
      </c>
      <c r="I18" s="2">
        <v>5.3294348298633</v>
      </c>
    </row>
    <row r="19" spans="1:9">
      <c r="A19" s="2" t="s">
        <v>37</v>
      </c>
      <c r="B19" s="2">
        <v>-0.0265376525844792</v>
      </c>
      <c r="C19" s="2">
        <v>0.0355465796998593</v>
      </c>
      <c r="D19" s="32">
        <v>-0.746559944966639</v>
      </c>
      <c r="E19" s="32">
        <v>0.462027079182486</v>
      </c>
      <c r="F19" s="2">
        <v>-0.0996046936006053</v>
      </c>
      <c r="G19" s="2">
        <v>0.0465293884316468</v>
      </c>
      <c r="H19" s="2">
        <v>-0.0996046936006053</v>
      </c>
      <c r="I19" s="2">
        <v>0.0465293884316468</v>
      </c>
    </row>
    <row r="20" ht="15.15" spans="1:9">
      <c r="A20" s="3" t="s">
        <v>43</v>
      </c>
      <c r="B20" s="3">
        <v>-0.508697254973372</v>
      </c>
      <c r="C20" s="3">
        <v>0.571007125741461</v>
      </c>
      <c r="D20" s="3">
        <v>-0.890877244855433</v>
      </c>
      <c r="E20" s="3">
        <v>0.381165260883088</v>
      </c>
      <c r="F20" s="3">
        <v>-1.6824192116098</v>
      </c>
      <c r="G20" s="3">
        <v>0.665024701663053</v>
      </c>
      <c r="H20" s="3">
        <v>-1.6824192116098</v>
      </c>
      <c r="I20" s="3">
        <v>0.665024701663053</v>
      </c>
    </row>
    <row r="24" spans="1:9">
      <c r="A24" t="s">
        <v>75</v>
      </c>
      <c r="F24" t="s">
        <v>76</v>
      </c>
    </row>
    <row r="25" ht="15.15"/>
    <row r="26" spans="1:9">
      <c r="A26" s="4" t="s">
        <v>77</v>
      </c>
      <c r="B26" s="4" t="s">
        <v>78</v>
      </c>
      <c r="C26" s="4" t="s">
        <v>79</v>
      </c>
      <c r="D26" s="4" t="s">
        <v>80</v>
      </c>
      <c r="F26" s="4" t="s">
        <v>81</v>
      </c>
      <c r="G26" s="4" t="s">
        <v>34</v>
      </c>
    </row>
    <row r="27" spans="1:9">
      <c r="A27" s="2">
        <v>1</v>
      </c>
      <c r="B27" s="2">
        <v>353.121611884264</v>
      </c>
      <c r="C27" s="2">
        <v>-18.1216118842644</v>
      </c>
      <c r="D27" s="2">
        <v>-0.533080409275073</v>
      </c>
      <c r="F27" s="2">
        <v>1.66666666666667</v>
      </c>
      <c r="G27" s="2">
        <v>335</v>
      </c>
    </row>
    <row r="28" spans="1:9">
      <c r="A28" s="2">
        <v>2</v>
      </c>
      <c r="B28" s="2">
        <v>396.392577396211</v>
      </c>
      <c r="C28" s="2">
        <v>-60.3925773962113</v>
      </c>
      <c r="D28" s="2">
        <v>-1.77655829300174</v>
      </c>
      <c r="F28" s="2">
        <v>5</v>
      </c>
      <c r="G28" s="2">
        <v>336</v>
      </c>
    </row>
    <row r="29" spans="1:9">
      <c r="A29" s="2">
        <v>3</v>
      </c>
      <c r="B29" s="2">
        <v>391.1433504401</v>
      </c>
      <c r="C29" s="2">
        <v>-3.14335044010005</v>
      </c>
      <c r="D29" s="2">
        <v>-0.0924674112769485</v>
      </c>
      <c r="F29" s="2">
        <v>8.33333333333333</v>
      </c>
      <c r="G29" s="2">
        <v>388</v>
      </c>
    </row>
    <row r="30" spans="1:9">
      <c r="A30" s="2">
        <v>4</v>
      </c>
      <c r="B30" s="2">
        <v>420.05182127372</v>
      </c>
      <c r="C30" s="2">
        <v>-0.0518212737200656</v>
      </c>
      <c r="D30" s="2">
        <v>-0.00152441769420279</v>
      </c>
      <c r="F30" s="2">
        <v>11.6666666666667</v>
      </c>
      <c r="G30" s="2">
        <v>420</v>
      </c>
    </row>
    <row r="31" spans="1:9">
      <c r="A31" s="2">
        <v>5</v>
      </c>
      <c r="B31" s="2">
        <v>450.964454535904</v>
      </c>
      <c r="C31" s="2">
        <v>-0.964454535903542</v>
      </c>
      <c r="D31" s="2">
        <v>-0.0283711968896706</v>
      </c>
      <c r="F31" s="2">
        <v>15</v>
      </c>
      <c r="G31" s="2">
        <v>450</v>
      </c>
    </row>
    <row r="32" spans="1:9">
      <c r="A32" s="2">
        <v>6</v>
      </c>
      <c r="B32" s="2">
        <v>441.513314759708</v>
      </c>
      <c r="C32" s="2">
        <v>8.48668524029233</v>
      </c>
      <c r="D32" s="2">
        <v>0.249651392501799</v>
      </c>
      <c r="F32" s="2">
        <v>18.3333333333333</v>
      </c>
      <c r="G32" s="2">
        <v>450</v>
      </c>
    </row>
    <row r="33" spans="1:7">
      <c r="A33" s="2">
        <v>7</v>
      </c>
      <c r="B33" s="2">
        <v>481.39044633983</v>
      </c>
      <c r="C33" s="2">
        <v>18.6095536601705</v>
      </c>
      <c r="D33" s="2">
        <v>0.547434110439387</v>
      </c>
      <c r="F33" s="2">
        <v>21.6666666666667</v>
      </c>
      <c r="G33" s="2">
        <v>500</v>
      </c>
    </row>
    <row r="34" spans="1:7">
      <c r="A34" s="2">
        <v>8</v>
      </c>
      <c r="B34" s="2">
        <v>484.229228766622</v>
      </c>
      <c r="C34" s="2">
        <v>35.7707712333782</v>
      </c>
      <c r="D34" s="2">
        <v>1.0522627617763</v>
      </c>
      <c r="F34" s="2">
        <v>25</v>
      </c>
      <c r="G34" s="2">
        <v>520</v>
      </c>
    </row>
    <row r="35" spans="1:7">
      <c r="A35" s="2">
        <v>9</v>
      </c>
      <c r="B35" s="2">
        <v>496.64586457717</v>
      </c>
      <c r="C35" s="2">
        <v>53.3541354228303</v>
      </c>
      <c r="D35" s="2">
        <v>1.56950962913057</v>
      </c>
      <c r="F35" s="2">
        <v>28.3333333333333</v>
      </c>
      <c r="G35" s="2">
        <v>550</v>
      </c>
    </row>
    <row r="36" spans="1:7">
      <c r="A36" s="2">
        <v>10</v>
      </c>
      <c r="B36" s="2">
        <v>592.697238938043</v>
      </c>
      <c r="C36" s="2">
        <v>7.30276106195652</v>
      </c>
      <c r="D36" s="2">
        <v>0.214824094049063</v>
      </c>
      <c r="F36" s="2">
        <v>31.6666666666667</v>
      </c>
      <c r="G36" s="2">
        <v>600</v>
      </c>
    </row>
    <row r="37" spans="1:7">
      <c r="A37" s="2">
        <v>11</v>
      </c>
      <c r="B37" s="2">
        <v>692.840247135421</v>
      </c>
      <c r="C37" s="2">
        <v>-87.8402471354208</v>
      </c>
      <c r="D37" s="2">
        <v>-2.58398177782596</v>
      </c>
      <c r="F37" s="2">
        <v>35</v>
      </c>
      <c r="G37" s="2">
        <v>605</v>
      </c>
    </row>
    <row r="38" spans="1:7">
      <c r="A38" s="2">
        <v>12</v>
      </c>
      <c r="B38" s="2">
        <v>641.829250780543</v>
      </c>
      <c r="C38" s="2">
        <v>-21.8292507805426</v>
      </c>
      <c r="D38" s="2">
        <v>-0.642147399170622</v>
      </c>
      <c r="F38" s="2">
        <v>38.3333333333333</v>
      </c>
      <c r="G38" s="2">
        <v>620</v>
      </c>
    </row>
    <row r="39" spans="1:7">
      <c r="A39" s="2">
        <v>13</v>
      </c>
      <c r="B39" s="2">
        <v>631.860014228632</v>
      </c>
      <c r="C39" s="2">
        <v>-1.86001422863228</v>
      </c>
      <c r="D39" s="2">
        <v>-0.0547157257637627</v>
      </c>
      <c r="F39" s="2">
        <v>41.6666666666667</v>
      </c>
      <c r="G39" s="2">
        <v>630</v>
      </c>
    </row>
    <row r="40" spans="1:7">
      <c r="A40" s="2">
        <v>14</v>
      </c>
      <c r="B40" s="2">
        <v>629.118025783319</v>
      </c>
      <c r="C40" s="2">
        <v>25.8819742166806</v>
      </c>
      <c r="D40" s="2">
        <v>0.761365682942119</v>
      </c>
      <c r="F40" s="2">
        <v>45</v>
      </c>
      <c r="G40" s="2">
        <v>655</v>
      </c>
    </row>
    <row r="41" spans="1:7">
      <c r="A41" s="2">
        <v>15</v>
      </c>
      <c r="B41" s="2">
        <v>666.0902075465</v>
      </c>
      <c r="C41" s="2">
        <v>23.9097924534998</v>
      </c>
      <c r="D41" s="2">
        <v>0.703350343677835</v>
      </c>
      <c r="F41" s="2">
        <v>48.3333333333333</v>
      </c>
      <c r="G41" s="2">
        <v>690</v>
      </c>
    </row>
    <row r="42" spans="1:7">
      <c r="A42" s="2">
        <v>16</v>
      </c>
      <c r="B42" s="2">
        <v>659.367571213516</v>
      </c>
      <c r="C42" s="2">
        <v>30.6324287864844</v>
      </c>
      <c r="D42" s="2">
        <v>0.901109006134719</v>
      </c>
      <c r="F42" s="2">
        <v>51.6666666666667</v>
      </c>
      <c r="G42" s="2">
        <v>690</v>
      </c>
    </row>
    <row r="43" spans="1:7">
      <c r="A43" s="2">
        <v>17</v>
      </c>
      <c r="B43" s="2">
        <v>678.800603817597</v>
      </c>
      <c r="C43" s="2">
        <v>31.1993961824035</v>
      </c>
      <c r="D43" s="2">
        <v>0.917787390673161</v>
      </c>
      <c r="F43" s="2">
        <v>55</v>
      </c>
      <c r="G43" s="2">
        <v>710</v>
      </c>
    </row>
    <row r="44" spans="1:7">
      <c r="A44" s="2">
        <v>18</v>
      </c>
      <c r="B44" s="2">
        <v>771.0320490058</v>
      </c>
      <c r="C44" s="2">
        <v>-51.0320490057996</v>
      </c>
      <c r="D44" s="2">
        <v>-1.5012012035077</v>
      </c>
      <c r="F44" s="2">
        <v>58.3333333333333</v>
      </c>
      <c r="G44" s="2">
        <v>720</v>
      </c>
    </row>
    <row r="45" spans="1:7">
      <c r="A45" s="2">
        <v>19</v>
      </c>
      <c r="B45" s="2">
        <v>765.333964046876</v>
      </c>
      <c r="C45" s="2">
        <v>-20.333964046876</v>
      </c>
      <c r="D45" s="2">
        <v>-0.598160800789783</v>
      </c>
      <c r="F45" s="2">
        <v>61.6666666666667</v>
      </c>
      <c r="G45" s="2">
        <v>745</v>
      </c>
    </row>
    <row r="46" spans="1:7">
      <c r="A46" s="2">
        <v>20</v>
      </c>
      <c r="B46" s="2">
        <v>759.370502562107</v>
      </c>
      <c r="C46" s="2">
        <v>0.62949743789261</v>
      </c>
      <c r="D46" s="2">
        <v>0.0185178202674559</v>
      </c>
      <c r="F46" s="2">
        <v>65</v>
      </c>
      <c r="G46" s="2">
        <v>760</v>
      </c>
    </row>
    <row r="47" spans="1:7">
      <c r="A47" s="2">
        <v>21</v>
      </c>
      <c r="B47" s="2">
        <v>781.044690185892</v>
      </c>
      <c r="C47" s="2">
        <v>-1.04469018589225</v>
      </c>
      <c r="D47" s="2">
        <v>-0.0307314755121022</v>
      </c>
      <c r="F47" s="2">
        <v>68.3333333333333</v>
      </c>
      <c r="G47" s="2">
        <v>780</v>
      </c>
    </row>
    <row r="48" spans="1:7">
      <c r="A48" s="2">
        <v>22</v>
      </c>
      <c r="B48" s="2">
        <v>803.24400968863</v>
      </c>
      <c r="C48" s="2">
        <v>36.7559903113704</v>
      </c>
      <c r="D48" s="2">
        <v>1.0812447857086</v>
      </c>
      <c r="F48" s="2">
        <v>71.6666666666667</v>
      </c>
      <c r="G48" s="2">
        <v>840</v>
      </c>
    </row>
    <row r="49" spans="1:7">
      <c r="A49" s="2">
        <v>23</v>
      </c>
      <c r="B49" s="2">
        <v>854.904608873394</v>
      </c>
      <c r="C49" s="2">
        <v>-9.90460887339361</v>
      </c>
      <c r="D49" s="2">
        <v>-0.291362213563515</v>
      </c>
      <c r="F49" s="2">
        <v>75</v>
      </c>
      <c r="G49" s="2">
        <v>845</v>
      </c>
    </row>
    <row r="50" spans="1:7">
      <c r="A50" s="2">
        <v>24</v>
      </c>
      <c r="B50" s="2">
        <v>909.48434984245</v>
      </c>
      <c r="C50" s="2">
        <v>-59.4843498424499</v>
      </c>
      <c r="D50" s="2">
        <v>-1.74984111579001</v>
      </c>
      <c r="F50" s="2">
        <v>78.3333333333333</v>
      </c>
      <c r="G50" s="2">
        <v>850</v>
      </c>
    </row>
    <row r="51" spans="1:7">
      <c r="A51" s="2">
        <v>25</v>
      </c>
      <c r="B51" s="2">
        <v>894.73987151671</v>
      </c>
      <c r="C51" s="2">
        <v>-34.7398715167099</v>
      </c>
      <c r="D51" s="2">
        <v>-1.0219369581782</v>
      </c>
      <c r="F51" s="2">
        <v>81.6666666666667</v>
      </c>
      <c r="G51" s="2">
        <v>860</v>
      </c>
    </row>
    <row r="52" spans="1:7">
      <c r="A52" s="2">
        <v>26</v>
      </c>
      <c r="B52" s="2">
        <v>910.759257048877</v>
      </c>
      <c r="C52" s="2">
        <v>-20.7592570488769</v>
      </c>
      <c r="D52" s="2">
        <v>-0.610671573507817</v>
      </c>
      <c r="F52" s="2">
        <v>85</v>
      </c>
      <c r="G52" s="2">
        <v>890</v>
      </c>
    </row>
    <row r="53" spans="1:7">
      <c r="A53" s="2">
        <v>27</v>
      </c>
      <c r="B53" s="2">
        <v>921.959289213782</v>
      </c>
      <c r="C53" s="2">
        <v>18.040710786218</v>
      </c>
      <c r="D53" s="2">
        <v>0.530700555279037</v>
      </c>
      <c r="F53" s="2">
        <v>88.3333333333333</v>
      </c>
      <c r="G53" s="2">
        <v>940</v>
      </c>
    </row>
    <row r="54" spans="1:7">
      <c r="A54" s="2">
        <v>28</v>
      </c>
      <c r="B54" s="2">
        <v>937.391153824852</v>
      </c>
      <c r="C54" s="2">
        <v>22.6088461751481</v>
      </c>
      <c r="D54" s="2">
        <v>0.665080625788621</v>
      </c>
      <c r="F54" s="2">
        <v>91.6666666666667</v>
      </c>
      <c r="G54" s="2">
        <v>960</v>
      </c>
    </row>
    <row r="55" spans="1:7">
      <c r="A55" s="2">
        <v>29</v>
      </c>
      <c r="B55" s="2">
        <v>944.763392987722</v>
      </c>
      <c r="C55" s="2">
        <v>35.236607012278</v>
      </c>
      <c r="D55" s="2">
        <v>1.03654934271497</v>
      </c>
      <c r="F55" s="2">
        <v>95</v>
      </c>
      <c r="G55" s="2">
        <v>980</v>
      </c>
    </row>
    <row r="56" ht="15.15" spans="1:7">
      <c r="A56" s="3">
        <v>30</v>
      </c>
      <c r="B56" s="3">
        <v>946.917031785811</v>
      </c>
      <c r="C56" s="3">
        <v>43.0829682141888</v>
      </c>
      <c r="D56" s="3">
        <v>1.26736443066345</v>
      </c>
      <c r="F56" s="3">
        <v>98.3333333333333</v>
      </c>
      <c r="G56" s="3">
        <v>990</v>
      </c>
    </row>
  </sheetData>
  <sortState ref="G27:G56">
    <sortCondition ref="G27"/>
  </sortState>
  <pageMargins left="0.7" right="0.7" top="0.75" bottom="0.75" header="0.3" footer="0.3"/>
  <headerFooter/>
  <drawing r:id="rId1"/>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44"/>
  <sheetViews>
    <sheetView workbookViewId="0">
      <selection activeCell="E2" sqref="E2"/>
    </sheetView>
  </sheetViews>
  <sheetFormatPr defaultColWidth="9" defaultRowHeight="14.4"/>
  <cols>
    <col min="1" max="1" width="55.5555555555556" customWidth="1"/>
    <col min="9" max="9" width="11.2222222222222" customWidth="1"/>
  </cols>
  <sheetData>
    <row r="1" ht="115.2" spans="1:11">
      <c r="A1" s="5" t="s">
        <v>33</v>
      </c>
      <c r="B1" s="6" t="s">
        <v>34</v>
      </c>
      <c r="C1" s="6" t="s">
        <v>36</v>
      </c>
      <c r="D1" s="31" t="s">
        <v>43</v>
      </c>
    </row>
    <row r="2" spans="1:11">
      <c r="A2" s="7">
        <v>1</v>
      </c>
      <c r="B2" s="7">
        <v>335</v>
      </c>
      <c r="C2" s="7">
        <v>500</v>
      </c>
      <c r="D2" s="7">
        <v>96</v>
      </c>
    </row>
    <row r="3" spans="1:11">
      <c r="A3" s="7">
        <v>2</v>
      </c>
      <c r="B3" s="7">
        <v>336</v>
      </c>
      <c r="C3" s="7">
        <v>510</v>
      </c>
      <c r="D3" s="7">
        <v>97</v>
      </c>
      <c r="G3" s="8"/>
      <c r="H3" s="8"/>
      <c r="I3" s="9"/>
      <c r="J3" s="9"/>
      <c r="K3" s="9"/>
    </row>
    <row r="4" spans="1:11">
      <c r="A4" s="7">
        <v>3</v>
      </c>
      <c r="B4" s="7">
        <v>388</v>
      </c>
      <c r="C4" s="7">
        <v>509</v>
      </c>
      <c r="D4" s="7">
        <v>96</v>
      </c>
      <c r="G4" s="8"/>
      <c r="H4" s="8"/>
      <c r="I4" s="9"/>
      <c r="J4" s="9"/>
      <c r="K4" s="9"/>
    </row>
    <row r="5" spans="1:11">
      <c r="A5" s="7">
        <v>4</v>
      </c>
      <c r="B5" s="7">
        <v>420</v>
      </c>
      <c r="C5" s="7">
        <v>515</v>
      </c>
      <c r="D5" s="7">
        <v>93</v>
      </c>
      <c r="G5" s="8"/>
      <c r="H5" s="8"/>
      <c r="I5" s="9"/>
      <c r="J5" s="9"/>
      <c r="K5" s="9"/>
    </row>
    <row r="6" spans="1:11">
      <c r="A6" s="7">
        <v>5</v>
      </c>
      <c r="B6" s="7">
        <v>450</v>
      </c>
      <c r="C6" s="7">
        <v>520</v>
      </c>
      <c r="D6" s="7">
        <v>93</v>
      </c>
      <c r="G6" s="8"/>
      <c r="H6" s="8"/>
      <c r="I6" s="9"/>
      <c r="J6" s="9"/>
      <c r="K6" s="9"/>
    </row>
    <row r="7" spans="1:11">
      <c r="A7" s="7">
        <v>6</v>
      </c>
      <c r="B7" s="7">
        <v>450</v>
      </c>
      <c r="C7" s="7">
        <v>519</v>
      </c>
      <c r="D7" s="7">
        <v>94</v>
      </c>
      <c r="G7" s="8"/>
      <c r="H7" s="8"/>
      <c r="I7" s="9"/>
      <c r="J7" s="9"/>
      <c r="K7" s="9"/>
    </row>
    <row r="8" spans="1:11">
      <c r="A8" s="7">
        <v>7</v>
      </c>
      <c r="B8" s="7">
        <v>500</v>
      </c>
      <c r="C8" s="7">
        <v>525</v>
      </c>
      <c r="D8" s="7">
        <v>95</v>
      </c>
      <c r="G8" s="10"/>
      <c r="H8" s="10"/>
      <c r="I8" s="11"/>
      <c r="J8" s="10"/>
      <c r="K8" s="10"/>
    </row>
    <row r="9" spans="1:11">
      <c r="A9" s="7">
        <v>8</v>
      </c>
      <c r="B9" s="7">
        <v>520</v>
      </c>
      <c r="C9" s="7">
        <v>526</v>
      </c>
      <c r="D9" s="7">
        <v>95</v>
      </c>
    </row>
    <row r="10" spans="1:11">
      <c r="A10" s="7">
        <v>9</v>
      </c>
      <c r="B10" s="7">
        <v>550</v>
      </c>
      <c r="C10" s="7">
        <v>530</v>
      </c>
      <c r="D10" s="7">
        <v>95</v>
      </c>
    </row>
    <row r="11" spans="1:11">
      <c r="A11" s="7">
        <v>10</v>
      </c>
      <c r="B11" s="7">
        <v>600</v>
      </c>
      <c r="C11" s="7">
        <v>550</v>
      </c>
      <c r="D11" s="7">
        <v>95</v>
      </c>
    </row>
    <row r="12" spans="1:11">
      <c r="A12" s="7">
        <v>11</v>
      </c>
      <c r="B12" s="7">
        <v>605</v>
      </c>
      <c r="C12" s="7">
        <v>570</v>
      </c>
      <c r="D12" s="7">
        <v>88</v>
      </c>
    </row>
    <row r="13" spans="1:11">
      <c r="A13" s="7">
        <v>12</v>
      </c>
      <c r="B13" s="7">
        <v>620</v>
      </c>
      <c r="C13" s="7">
        <v>560</v>
      </c>
      <c r="D13" s="7">
        <v>85</v>
      </c>
    </row>
    <row r="14" spans="1:11">
      <c r="A14" s="7">
        <v>13</v>
      </c>
      <c r="B14" s="7">
        <v>630</v>
      </c>
      <c r="C14" s="7">
        <v>555</v>
      </c>
      <c r="D14" s="7">
        <v>72</v>
      </c>
    </row>
    <row r="15" spans="1:11">
      <c r="A15" s="7">
        <v>14</v>
      </c>
      <c r="B15" s="7">
        <v>655</v>
      </c>
      <c r="C15" s="7">
        <v>555</v>
      </c>
      <c r="D15" s="7">
        <v>68</v>
      </c>
    </row>
    <row r="16" spans="1:11">
      <c r="A16" s="7">
        <v>15</v>
      </c>
      <c r="B16" s="7">
        <v>690</v>
      </c>
      <c r="C16" s="7">
        <v>560</v>
      </c>
      <c r="D16" s="7">
        <v>66</v>
      </c>
    </row>
    <row r="17" spans="1:4">
      <c r="A17" s="7">
        <v>16</v>
      </c>
      <c r="B17" s="7">
        <v>690</v>
      </c>
      <c r="C17" s="7">
        <v>560</v>
      </c>
      <c r="D17" s="7">
        <v>62</v>
      </c>
    </row>
    <row r="18" spans="1:4">
      <c r="A18" s="7">
        <v>17</v>
      </c>
      <c r="B18" s="7">
        <v>710</v>
      </c>
      <c r="C18" s="7">
        <v>562</v>
      </c>
      <c r="D18" s="7">
        <v>60</v>
      </c>
    </row>
    <row r="19" spans="1:4">
      <c r="A19" s="7">
        <v>18</v>
      </c>
      <c r="B19" s="7">
        <v>720</v>
      </c>
      <c r="C19" s="7">
        <v>580</v>
      </c>
      <c r="D19" s="7">
        <v>60</v>
      </c>
    </row>
    <row r="20" spans="1:4">
      <c r="A20" s="7">
        <v>19</v>
      </c>
      <c r="B20" s="7">
        <v>745</v>
      </c>
      <c r="C20" s="7">
        <v>581</v>
      </c>
      <c r="D20" s="7">
        <v>70</v>
      </c>
    </row>
    <row r="21" spans="1:4">
      <c r="A21" s="7">
        <v>20</v>
      </c>
      <c r="B21" s="7">
        <v>760</v>
      </c>
      <c r="C21" s="7">
        <v>582</v>
      </c>
      <c r="D21" s="7">
        <v>80</v>
      </c>
    </row>
    <row r="22" spans="1:4">
      <c r="A22" s="7">
        <v>21</v>
      </c>
      <c r="B22" s="7">
        <v>780</v>
      </c>
      <c r="C22" s="7">
        <v>585</v>
      </c>
      <c r="D22" s="7">
        <v>87</v>
      </c>
    </row>
    <row r="23" spans="1:4">
      <c r="A23" s="7">
        <v>22</v>
      </c>
      <c r="B23" s="7">
        <v>840</v>
      </c>
      <c r="C23" s="7">
        <v>590</v>
      </c>
      <c r="D23" s="7">
        <v>89</v>
      </c>
    </row>
    <row r="24" spans="1:4">
      <c r="A24" s="7">
        <v>23</v>
      </c>
      <c r="B24" s="7">
        <v>845</v>
      </c>
      <c r="C24" s="7">
        <v>601</v>
      </c>
      <c r="D24" s="7">
        <v>89</v>
      </c>
    </row>
    <row r="25" spans="1:4">
      <c r="A25" s="7">
        <v>24</v>
      </c>
      <c r="B25" s="7">
        <v>850</v>
      </c>
      <c r="C25" s="7">
        <v>612</v>
      </c>
      <c r="D25" s="7">
        <v>89</v>
      </c>
    </row>
    <row r="26" spans="1:4">
      <c r="A26" s="7">
        <v>25</v>
      </c>
      <c r="B26" s="7">
        <v>860</v>
      </c>
      <c r="C26" s="7">
        <v>610</v>
      </c>
      <c r="D26" s="7">
        <v>87</v>
      </c>
    </row>
    <row r="27" spans="1:4">
      <c r="A27" s="7">
        <v>26</v>
      </c>
      <c r="B27" s="7">
        <v>890</v>
      </c>
      <c r="C27" s="7">
        <v>611</v>
      </c>
      <c r="D27" s="7">
        <v>83</v>
      </c>
    </row>
    <row r="28" spans="1:4">
      <c r="A28" s="7">
        <v>27</v>
      </c>
      <c r="B28" s="7">
        <v>940</v>
      </c>
      <c r="C28" s="7">
        <v>615</v>
      </c>
      <c r="D28" s="7">
        <v>88</v>
      </c>
    </row>
    <row r="29" spans="1:4">
      <c r="A29" s="7">
        <v>28</v>
      </c>
      <c r="B29" s="7">
        <v>960</v>
      </c>
      <c r="C29" s="7">
        <v>620</v>
      </c>
      <c r="D29" s="7">
        <v>96</v>
      </c>
    </row>
    <row r="30" spans="1:4">
      <c r="A30" s="7">
        <v>29</v>
      </c>
      <c r="B30" s="7">
        <v>980</v>
      </c>
      <c r="C30" s="7">
        <v>621</v>
      </c>
      <c r="D30" s="7">
        <v>97</v>
      </c>
    </row>
    <row r="31" spans="1:4">
      <c r="A31" s="7">
        <v>30</v>
      </c>
      <c r="B31" s="7">
        <v>990</v>
      </c>
      <c r="C31" s="7">
        <v>622</v>
      </c>
      <c r="D31" s="7">
        <v>90</v>
      </c>
    </row>
    <row r="32" ht="15.15"/>
    <row r="33" spans="1:5">
      <c r="A33" s="4"/>
      <c r="B33" s="4" t="s">
        <v>34</v>
      </c>
      <c r="C33" s="4" t="s">
        <v>36</v>
      </c>
      <c r="D33" s="4" t="s">
        <v>43</v>
      </c>
    </row>
    <row r="34" spans="1:5">
      <c r="A34" s="2" t="s">
        <v>34</v>
      </c>
      <c r="B34" s="2">
        <v>1</v>
      </c>
      <c r="C34" s="2">
        <f t="array" ref="C34:D34">TRANSPOSE(B35:B36)</f>
        <v>0.983720697847245</v>
      </c>
      <c r="D34" s="2">
        <v>-0.208003633223321</v>
      </c>
    </row>
    <row r="35" spans="1:5">
      <c r="A35" s="2" t="s">
        <v>36</v>
      </c>
      <c r="B35" s="2">
        <v>0.983720697847245</v>
      </c>
      <c r="C35" s="2">
        <v>1</v>
      </c>
      <c r="D35" s="2">
        <f>C36</f>
        <v>-0.175915406454601</v>
      </c>
    </row>
    <row r="36" ht="15.15" spans="1:5">
      <c r="A36" s="3" t="s">
        <v>43</v>
      </c>
      <c r="B36" s="3">
        <v>-0.208003633223321</v>
      </c>
      <c r="C36" s="3">
        <v>-0.175915406454601</v>
      </c>
      <c r="D36" s="3">
        <v>1</v>
      </c>
    </row>
    <row r="38" spans="1:5">
      <c r="A38" s="28" t="s">
        <v>88</v>
      </c>
      <c r="B38" s="28"/>
      <c r="C38" s="28"/>
      <c r="D38" s="28"/>
      <c r="E38" s="28"/>
    </row>
    <row r="39" spans="1:5">
      <c r="A39" s="28"/>
      <c r="B39" s="28"/>
      <c r="C39" s="28"/>
      <c r="D39" s="28"/>
      <c r="E39" s="28"/>
    </row>
    <row r="40" spans="1:5">
      <c r="A40" s="28"/>
      <c r="B40" s="28"/>
      <c r="C40" s="28"/>
      <c r="D40" s="28"/>
      <c r="E40" s="28"/>
    </row>
    <row r="41" spans="1:5">
      <c r="A41" s="28"/>
      <c r="B41" s="28"/>
      <c r="C41" s="28"/>
      <c r="D41" s="28"/>
      <c r="E41" s="28"/>
    </row>
    <row r="42" spans="1:5">
      <c r="A42" s="28"/>
      <c r="B42" s="28"/>
      <c r="C42" s="28"/>
      <c r="D42" s="28"/>
      <c r="E42" s="28"/>
    </row>
    <row r="43" spans="1:5">
      <c r="A43" s="28"/>
      <c r="B43" s="28"/>
      <c r="C43" s="28"/>
      <c r="D43" s="28"/>
      <c r="E43" s="28"/>
    </row>
    <row r="44" spans="1:5">
      <c r="A44" s="28"/>
      <c r="B44" s="28"/>
      <c r="C44" s="28"/>
      <c r="D44" s="28"/>
      <c r="E44" s="28"/>
    </row>
  </sheetData>
  <mergeCells count="1">
    <mergeCell ref="A38:E44"/>
  </mergeCells>
  <conditionalFormatting sqref="B34:D36">
    <cfRule type="cellIs" dxfId="1" priority="1" operator="notBetween">
      <formula>-0.7</formula>
      <formula>0.7</formula>
    </cfRule>
  </conditionalFormatting>
  <pageMargins left="0.7" right="0.7" top="0.75" bottom="0.75" header="0.3" footer="0.3"/>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55"/>
  <sheetViews>
    <sheetView workbookViewId="0">
      <selection activeCell="B21" sqref="B21"/>
    </sheetView>
  </sheetViews>
  <sheetFormatPr defaultColWidth="9" defaultRowHeight="14.4"/>
  <cols>
    <col min="1" max="1" width="55.5555555555556" customWidth="1"/>
    <col min="2" max="2" width="33.1111111111111" customWidth="1"/>
    <col min="3" max="3" width="21" customWidth="1"/>
    <col min="4" max="4" width="22.6666666666667" customWidth="1"/>
    <col min="5" max="5" width="12" customWidth="1"/>
  </cols>
  <sheetData>
    <row r="1" spans="1:9">
      <c r="A1" t="s">
        <v>51</v>
      </c>
    </row>
    <row r="2" ht="15.15"/>
    <row r="3" spans="1:9">
      <c r="A3" s="1" t="s">
        <v>52</v>
      </c>
      <c r="B3" s="1"/>
    </row>
    <row r="4" spans="1:9">
      <c r="A4" s="2" t="s">
        <v>53</v>
      </c>
      <c r="B4" s="2">
        <v>0.984361248060666</v>
      </c>
    </row>
    <row r="5" spans="1:9">
      <c r="A5" s="2" t="s">
        <v>54</v>
      </c>
      <c r="B5" s="2">
        <v>0.968967066683552</v>
      </c>
    </row>
    <row r="6" spans="1:9">
      <c r="A6" s="2" t="s">
        <v>55</v>
      </c>
      <c r="B6" s="2">
        <v>0.966668330882334</v>
      </c>
    </row>
    <row r="7" spans="1:9">
      <c r="A7" s="2" t="s">
        <v>56</v>
      </c>
      <c r="B7" s="2">
        <v>35.6063066757392</v>
      </c>
    </row>
    <row r="8" ht="15.15" spans="1:9">
      <c r="A8" s="3" t="s">
        <v>57</v>
      </c>
      <c r="B8" s="3">
        <v>30</v>
      </c>
    </row>
    <row r="10" ht="15.15" spans="1:9">
      <c r="A10" t="s">
        <v>58</v>
      </c>
    </row>
    <row r="11" spans="1:9">
      <c r="A11" s="4"/>
      <c r="B11" s="4" t="s">
        <v>59</v>
      </c>
      <c r="C11" s="4" t="s">
        <v>60</v>
      </c>
      <c r="D11" s="4" t="s">
        <v>61</v>
      </c>
      <c r="E11" s="4" t="s">
        <v>62</v>
      </c>
      <c r="F11" s="4" t="s">
        <v>63</v>
      </c>
    </row>
    <row r="12" spans="1:9">
      <c r="A12" s="2" t="s">
        <v>64</v>
      </c>
      <c r="B12" s="2">
        <v>2</v>
      </c>
      <c r="C12" s="2">
        <v>1068818.12163932</v>
      </c>
      <c r="D12" s="2">
        <v>534409.060819662</v>
      </c>
      <c r="E12" s="2">
        <v>421.521719098814</v>
      </c>
      <c r="F12" s="2">
        <v>4.36122186560992e-21</v>
      </c>
    </row>
    <row r="13" spans="1:9">
      <c r="A13" s="2" t="s">
        <v>65</v>
      </c>
      <c r="B13" s="2">
        <v>27</v>
      </c>
      <c r="C13" s="2">
        <v>34230.8450273434</v>
      </c>
      <c r="D13" s="2">
        <v>1267.80907508679</v>
      </c>
      <c r="E13" s="2"/>
      <c r="F13" s="2"/>
    </row>
    <row r="14" ht="15.15" spans="1:9">
      <c r="A14" s="3" t="s">
        <v>66</v>
      </c>
      <c r="B14" s="3">
        <v>29</v>
      </c>
      <c r="C14" s="3">
        <v>1103048.96666667</v>
      </c>
      <c r="D14" s="3"/>
      <c r="E14" s="3"/>
      <c r="F14" s="3"/>
    </row>
    <row r="15" ht="15.15"/>
    <row r="16" spans="1:9">
      <c r="A16" s="4"/>
      <c r="B16" s="4" t="s">
        <v>67</v>
      </c>
      <c r="C16" s="4" t="s">
        <v>56</v>
      </c>
      <c r="D16" s="4" t="s">
        <v>68</v>
      </c>
      <c r="E16" s="4" t="s">
        <v>69</v>
      </c>
      <c r="F16" s="4" t="s">
        <v>70</v>
      </c>
      <c r="G16" s="4" t="s">
        <v>71</v>
      </c>
      <c r="H16" s="4" t="s">
        <v>72</v>
      </c>
      <c r="I16" s="4" t="s">
        <v>73</v>
      </c>
    </row>
    <row r="17" spans="1:9">
      <c r="A17" s="2" t="s">
        <v>74</v>
      </c>
      <c r="B17" s="2">
        <v>-2062.86061164948</v>
      </c>
      <c r="C17" s="2">
        <v>116.618294229918</v>
      </c>
      <c r="D17" s="2">
        <v>-17.6889966130225</v>
      </c>
      <c r="E17" s="2">
        <v>2.23401898894359e-16</v>
      </c>
      <c r="F17" s="2">
        <v>-2302.1415865303</v>
      </c>
      <c r="G17" s="2">
        <v>-1823.57963676865</v>
      </c>
      <c r="H17" s="2">
        <v>-2302.1415865303</v>
      </c>
      <c r="I17" s="2">
        <v>-1823.57963676865</v>
      </c>
    </row>
    <row r="18" spans="1:9">
      <c r="A18" s="2" t="s">
        <v>36</v>
      </c>
      <c r="B18" s="2">
        <v>4.9355068701705</v>
      </c>
      <c r="C18" s="2">
        <v>0.173910496959146</v>
      </c>
      <c r="D18" s="2">
        <v>28.379580051053</v>
      </c>
      <c r="E18" s="2">
        <v>1.22411224189106e-21</v>
      </c>
      <c r="F18" s="2">
        <v>4.57867200537347</v>
      </c>
      <c r="G18" s="2">
        <v>5.29234173496753</v>
      </c>
      <c r="H18" s="2">
        <v>4.57867200537347</v>
      </c>
      <c r="I18" s="2">
        <v>5.29234173496753</v>
      </c>
    </row>
    <row r="19" ht="15.15" spans="1:9">
      <c r="A19" s="3" t="s">
        <v>43</v>
      </c>
      <c r="B19" s="3">
        <v>-0.583810622750146</v>
      </c>
      <c r="C19" s="3">
        <v>0.557446696559583</v>
      </c>
      <c r="D19" s="30">
        <v>-1.04729407556502</v>
      </c>
      <c r="E19" s="30">
        <v>0.304249271741237</v>
      </c>
      <c r="F19" s="3">
        <v>-1.72759676606222</v>
      </c>
      <c r="G19" s="3">
        <v>0.559975520561933</v>
      </c>
      <c r="H19" s="3">
        <v>-1.72759676606222</v>
      </c>
      <c r="I19" s="3">
        <v>0.559975520561933</v>
      </c>
    </row>
    <row r="23" spans="1:9">
      <c r="A23" t="s">
        <v>75</v>
      </c>
      <c r="F23" t="s">
        <v>76</v>
      </c>
    </row>
    <row r="24" ht="15.15"/>
    <row r="25" spans="1:9">
      <c r="A25" s="4" t="s">
        <v>77</v>
      </c>
      <c r="B25" s="4" t="s">
        <v>78</v>
      </c>
      <c r="C25" s="4" t="s">
        <v>79</v>
      </c>
      <c r="D25" s="4" t="s">
        <v>80</v>
      </c>
      <c r="F25" s="4" t="s">
        <v>81</v>
      </c>
      <c r="G25" s="4" t="s">
        <v>34</v>
      </c>
    </row>
    <row r="26" spans="1:9">
      <c r="A26" s="2">
        <v>1</v>
      </c>
      <c r="B26" s="2">
        <v>348.847003651757</v>
      </c>
      <c r="C26" s="2">
        <v>-13.8470036517569</v>
      </c>
      <c r="D26" s="2">
        <v>-0.403038000435791</v>
      </c>
      <c r="F26" s="2">
        <v>1.66666666666667</v>
      </c>
      <c r="G26" s="2">
        <v>335</v>
      </c>
    </row>
    <row r="27" spans="1:9">
      <c r="A27" s="2">
        <v>2</v>
      </c>
      <c r="B27" s="2">
        <v>397.618261730712</v>
      </c>
      <c r="C27" s="2">
        <v>-61.6182617307118</v>
      </c>
      <c r="D27" s="2">
        <v>-1.79349277452702</v>
      </c>
      <c r="F27" s="2">
        <v>5</v>
      </c>
      <c r="G27" s="2">
        <v>336</v>
      </c>
    </row>
    <row r="28" spans="1:9">
      <c r="A28" s="2">
        <v>3</v>
      </c>
      <c r="B28" s="2">
        <v>393.266565483291</v>
      </c>
      <c r="C28" s="2">
        <v>-5.26656548329123</v>
      </c>
      <c r="D28" s="2">
        <v>-0.153291359988956</v>
      </c>
      <c r="F28" s="2">
        <v>8.33333333333333</v>
      </c>
      <c r="G28" s="2">
        <v>388</v>
      </c>
    </row>
    <row r="29" spans="1:9">
      <c r="A29" s="2">
        <v>4</v>
      </c>
      <c r="B29" s="2">
        <v>424.631038572565</v>
      </c>
      <c r="C29" s="2">
        <v>-4.63103857256488</v>
      </c>
      <c r="D29" s="2">
        <v>-0.13479338730374</v>
      </c>
      <c r="F29" s="2">
        <v>11.6666666666667</v>
      </c>
      <c r="G29" s="2">
        <v>420</v>
      </c>
    </row>
    <row r="30" spans="1:9">
      <c r="A30" s="2">
        <v>5</v>
      </c>
      <c r="B30" s="2">
        <v>449.308572923417</v>
      </c>
      <c r="C30" s="2">
        <v>0.691427076582613</v>
      </c>
      <c r="D30" s="2">
        <v>0.0201250316242723</v>
      </c>
      <c r="F30" s="2">
        <v>15</v>
      </c>
      <c r="G30" s="2">
        <v>450</v>
      </c>
    </row>
    <row r="31" spans="1:9">
      <c r="A31" s="2">
        <v>6</v>
      </c>
      <c r="B31" s="2">
        <v>443.789255430497</v>
      </c>
      <c r="C31" s="2">
        <v>6.21074456950345</v>
      </c>
      <c r="D31" s="2">
        <v>0.180773121424903</v>
      </c>
      <c r="F31" s="2">
        <v>18.3333333333333</v>
      </c>
      <c r="G31" s="2">
        <v>450</v>
      </c>
    </row>
    <row r="32" spans="1:9">
      <c r="A32" s="2">
        <v>7</v>
      </c>
      <c r="B32" s="2">
        <v>472.81848602877</v>
      </c>
      <c r="C32" s="2">
        <v>27.1815139712304</v>
      </c>
      <c r="D32" s="2">
        <v>0.791159106713476</v>
      </c>
      <c r="F32" s="2">
        <v>21.6666666666667</v>
      </c>
      <c r="G32" s="2">
        <v>500</v>
      </c>
    </row>
    <row r="33" spans="1:7">
      <c r="A33" s="2">
        <v>8</v>
      </c>
      <c r="B33" s="2">
        <v>477.75399289894</v>
      </c>
      <c r="C33" s="2">
        <v>42.2460071010602</v>
      </c>
      <c r="D33" s="2">
        <v>1.22963398122938</v>
      </c>
      <c r="F33" s="2">
        <v>25</v>
      </c>
      <c r="G33" s="2">
        <v>520</v>
      </c>
    </row>
    <row r="34" spans="1:7">
      <c r="A34" s="2">
        <v>9</v>
      </c>
      <c r="B34" s="2">
        <v>497.496020379622</v>
      </c>
      <c r="C34" s="2">
        <v>52.5039796203779</v>
      </c>
      <c r="D34" s="2">
        <v>1.52820779811333</v>
      </c>
      <c r="F34" s="2">
        <v>28.3333333333333</v>
      </c>
      <c r="G34" s="2">
        <v>550</v>
      </c>
    </row>
    <row r="35" spans="1:7">
      <c r="A35" s="2">
        <v>10</v>
      </c>
      <c r="B35" s="2">
        <v>596.206157783032</v>
      </c>
      <c r="C35" s="2">
        <v>3.7938422169683</v>
      </c>
      <c r="D35" s="2">
        <v>0.110425520173947</v>
      </c>
      <c r="F35" s="2">
        <v>31.6666666666667</v>
      </c>
      <c r="G35" s="2">
        <v>600</v>
      </c>
    </row>
    <row r="36" spans="1:7">
      <c r="A36" s="2">
        <v>11</v>
      </c>
      <c r="B36" s="2">
        <v>699.002969545693</v>
      </c>
      <c r="C36" s="2">
        <v>-94.0029695456927</v>
      </c>
      <c r="D36" s="2">
        <v>-2.73609871373982</v>
      </c>
      <c r="F36" s="2">
        <v>35</v>
      </c>
      <c r="G36" s="2">
        <v>605</v>
      </c>
    </row>
    <row r="37" spans="1:7">
      <c r="A37" s="2">
        <v>12</v>
      </c>
      <c r="B37" s="2">
        <v>651.399332712238</v>
      </c>
      <c r="C37" s="2">
        <v>-31.3993327122382</v>
      </c>
      <c r="D37" s="2">
        <v>-0.913925105360462</v>
      </c>
      <c r="F37" s="2">
        <v>38.3333333333333</v>
      </c>
      <c r="G37" s="2">
        <v>620</v>
      </c>
    </row>
    <row r="38" spans="1:7">
      <c r="A38" s="2">
        <v>13</v>
      </c>
      <c r="B38" s="2">
        <v>634.311336457138</v>
      </c>
      <c r="C38" s="2">
        <v>-4.3113364571376</v>
      </c>
      <c r="D38" s="2">
        <v>-0.125487973325565</v>
      </c>
      <c r="F38" s="2">
        <v>41.6666666666667</v>
      </c>
      <c r="G38" s="2">
        <v>630</v>
      </c>
    </row>
    <row r="39" spans="1:7">
      <c r="A39" s="2">
        <v>14</v>
      </c>
      <c r="B39" s="2">
        <v>636.646578948138</v>
      </c>
      <c r="C39" s="2">
        <v>18.3534210518619</v>
      </c>
      <c r="D39" s="2">
        <v>0.534204099885541</v>
      </c>
      <c r="F39" s="2">
        <v>45</v>
      </c>
      <c r="G39" s="2">
        <v>655</v>
      </c>
    </row>
    <row r="40" spans="1:7">
      <c r="A40" s="2">
        <v>15</v>
      </c>
      <c r="B40" s="2">
        <v>662.491734544491</v>
      </c>
      <c r="C40" s="2">
        <v>27.5082654555091</v>
      </c>
      <c r="D40" s="2">
        <v>0.800669703242163</v>
      </c>
      <c r="F40" s="2">
        <v>48.3333333333333</v>
      </c>
      <c r="G40" s="2">
        <v>690</v>
      </c>
    </row>
    <row r="41" spans="1:7">
      <c r="A41" s="2">
        <v>16</v>
      </c>
      <c r="B41" s="2">
        <v>664.826977035491</v>
      </c>
      <c r="C41" s="2">
        <v>25.1730229645085</v>
      </c>
      <c r="D41" s="2">
        <v>0.732698935863463</v>
      </c>
      <c r="F41" s="2">
        <v>51.6666666666667</v>
      </c>
      <c r="G41" s="2">
        <v>690</v>
      </c>
    </row>
    <row r="42" spans="1:7">
      <c r="A42" s="2">
        <v>17</v>
      </c>
      <c r="B42" s="2">
        <v>675.865612021333</v>
      </c>
      <c r="C42" s="2">
        <v>34.1343879786673</v>
      </c>
      <c r="D42" s="2">
        <v>0.993533028734057</v>
      </c>
      <c r="F42" s="2">
        <v>55</v>
      </c>
      <c r="G42" s="2">
        <v>710</v>
      </c>
    </row>
    <row r="43" spans="1:7">
      <c r="A43" s="2">
        <v>18</v>
      </c>
      <c r="B43" s="2">
        <v>764.704735684402</v>
      </c>
      <c r="C43" s="2">
        <v>-44.7047356844018</v>
      </c>
      <c r="D43" s="2">
        <v>-1.30119899823713</v>
      </c>
      <c r="F43" s="2">
        <v>58.3333333333333</v>
      </c>
      <c r="G43" s="2">
        <v>720</v>
      </c>
    </row>
    <row r="44" spans="1:7">
      <c r="A44" s="2">
        <v>19</v>
      </c>
      <c r="B44" s="2">
        <v>763.802136327071</v>
      </c>
      <c r="C44" s="2">
        <v>-18.8021363270711</v>
      </c>
      <c r="D44" s="2">
        <v>-0.547264637156532</v>
      </c>
      <c r="F44" s="2">
        <v>61.6666666666667</v>
      </c>
      <c r="G44" s="2">
        <v>745</v>
      </c>
    </row>
    <row r="45" spans="1:7">
      <c r="A45" s="2">
        <v>20</v>
      </c>
      <c r="B45" s="2">
        <v>762.89953696974</v>
      </c>
      <c r="C45" s="2">
        <v>-2.89953696973987</v>
      </c>
      <c r="D45" s="2">
        <v>-0.0843954123118424</v>
      </c>
      <c r="F45" s="2">
        <v>65</v>
      </c>
      <c r="G45" s="2">
        <v>760</v>
      </c>
    </row>
    <row r="46" spans="1:7">
      <c r="A46" s="2">
        <v>21</v>
      </c>
      <c r="B46" s="2">
        <v>773.619383221</v>
      </c>
      <c r="C46" s="2">
        <v>6.38061677899952</v>
      </c>
      <c r="D46" s="2">
        <v>0.18571750920487</v>
      </c>
      <c r="F46" s="2">
        <v>68.3333333333333</v>
      </c>
      <c r="G46" s="2">
        <v>780</v>
      </c>
    </row>
    <row r="47" spans="1:7">
      <c r="A47" s="2">
        <v>22</v>
      </c>
      <c r="B47" s="2">
        <v>797.129296326353</v>
      </c>
      <c r="C47" s="2">
        <v>42.8707036736473</v>
      </c>
      <c r="D47" s="2">
        <v>1.24781672052999</v>
      </c>
      <c r="F47" s="2">
        <v>71.6666666666667</v>
      </c>
      <c r="G47" s="2">
        <v>840</v>
      </c>
    </row>
    <row r="48" spans="1:7">
      <c r="A48" s="2">
        <v>23</v>
      </c>
      <c r="B48" s="2">
        <v>851.419871898228</v>
      </c>
      <c r="C48" s="2">
        <v>-6.41987189822794</v>
      </c>
      <c r="D48" s="2">
        <v>-0.186860088867487</v>
      </c>
      <c r="F48" s="2">
        <v>75</v>
      </c>
      <c r="G48" s="2">
        <v>845</v>
      </c>
    </row>
    <row r="49" spans="1:7">
      <c r="A49" s="2">
        <v>24</v>
      </c>
      <c r="B49" s="2">
        <v>905.710447470104</v>
      </c>
      <c r="C49" s="2">
        <v>-55.7104474701036</v>
      </c>
      <c r="D49" s="2">
        <v>-1.62153689826498</v>
      </c>
      <c r="F49" s="2">
        <v>78.3333333333333</v>
      </c>
      <c r="G49" s="2">
        <v>850</v>
      </c>
    </row>
    <row r="50" spans="1:7">
      <c r="A50" s="2">
        <v>25</v>
      </c>
      <c r="B50" s="2">
        <v>897.007054975263</v>
      </c>
      <c r="C50" s="2">
        <v>-37.007054975263</v>
      </c>
      <c r="D50" s="2">
        <v>-1.07714634980651</v>
      </c>
      <c r="F50" s="2">
        <v>81.6666666666667</v>
      </c>
      <c r="G50" s="2">
        <v>860</v>
      </c>
    </row>
    <row r="51" spans="1:7">
      <c r="A51" s="2">
        <v>26</v>
      </c>
      <c r="B51" s="2">
        <v>904.277804336434</v>
      </c>
      <c r="C51" s="2">
        <v>-14.2778043364337</v>
      </c>
      <c r="D51" s="2">
        <v>-0.415577106433391</v>
      </c>
      <c r="F51" s="2">
        <v>85</v>
      </c>
      <c r="G51" s="2">
        <v>890</v>
      </c>
    </row>
    <row r="52" spans="1:7">
      <c r="A52" s="2">
        <v>27</v>
      </c>
      <c r="B52" s="2">
        <v>921.100778703365</v>
      </c>
      <c r="C52" s="2">
        <v>18.8992212966347</v>
      </c>
      <c r="D52" s="2">
        <v>0.550090442145779</v>
      </c>
      <c r="F52" s="2">
        <v>88.3333333333333</v>
      </c>
      <c r="G52" s="2">
        <v>940</v>
      </c>
    </row>
    <row r="53" spans="1:7">
      <c r="A53" s="2">
        <v>28</v>
      </c>
      <c r="B53" s="2">
        <v>941.107828072216</v>
      </c>
      <c r="C53" s="2">
        <v>18.8921719277837</v>
      </c>
      <c r="D53" s="2">
        <v>0.54988525959528</v>
      </c>
      <c r="F53" s="2">
        <v>91.6666666666667</v>
      </c>
      <c r="G53" s="2">
        <v>960</v>
      </c>
    </row>
    <row r="54" spans="1:7">
      <c r="A54" s="2">
        <v>29</v>
      </c>
      <c r="B54" s="2">
        <v>945.459524319637</v>
      </c>
      <c r="C54" s="2">
        <v>34.5404756803632</v>
      </c>
      <c r="D54" s="2">
        <v>1.00535282595584</v>
      </c>
      <c r="F54" s="2">
        <v>95</v>
      </c>
      <c r="G54" s="2">
        <v>980</v>
      </c>
    </row>
    <row r="55" ht="15.15" spans="1:7">
      <c r="A55" s="3">
        <v>30</v>
      </c>
      <c r="B55" s="3">
        <v>954.481705549058</v>
      </c>
      <c r="C55" s="3">
        <v>35.5182944509415</v>
      </c>
      <c r="D55" s="3">
        <v>1.03381372132308</v>
      </c>
      <c r="F55" s="3">
        <v>98.3333333333333</v>
      </c>
      <c r="G55" s="3">
        <v>990</v>
      </c>
    </row>
  </sheetData>
  <sortState ref="G26:G55">
    <sortCondition ref="G26"/>
  </sortState>
  <pageMargins left="0.7" right="0.7" top="0.75" bottom="0.75" header="0.3" footer="0.3"/>
  <headerFooter/>
  <drawing r:id="rId1"/>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44"/>
  <sheetViews>
    <sheetView zoomScale="70" zoomScaleNormal="70" workbookViewId="0">
      <selection activeCell="E6" sqref="E6"/>
    </sheetView>
  </sheetViews>
  <sheetFormatPr defaultColWidth="9" defaultRowHeight="14.4"/>
  <cols>
    <col min="1" max="1" width="46.4444444444444" customWidth="1"/>
    <col min="8" max="8" width="12.6666666666667" customWidth="1"/>
  </cols>
  <sheetData>
    <row r="1" ht="118" customHeight="1" spans="1:10">
      <c r="A1" s="5" t="s">
        <v>33</v>
      </c>
      <c r="B1" s="6" t="s">
        <v>34</v>
      </c>
      <c r="C1" s="6" t="s">
        <v>36</v>
      </c>
    </row>
    <row r="2" spans="1:10">
      <c r="A2" s="7">
        <v>1</v>
      </c>
      <c r="B2" s="7">
        <v>335</v>
      </c>
      <c r="C2" s="7">
        <v>500</v>
      </c>
      <c r="F2" s="8"/>
      <c r="G2" s="8"/>
      <c r="H2" s="9"/>
      <c r="I2" s="9"/>
      <c r="J2" s="9"/>
    </row>
    <row r="3" spans="1:10">
      <c r="A3" s="7">
        <v>2</v>
      </c>
      <c r="B3" s="7">
        <v>336</v>
      </c>
      <c r="C3" s="7">
        <v>510</v>
      </c>
      <c r="F3" s="8"/>
      <c r="G3" s="8"/>
      <c r="H3" s="9"/>
      <c r="I3" s="9"/>
      <c r="J3" s="9"/>
    </row>
    <row r="4" spans="1:10">
      <c r="A4" s="7">
        <v>3</v>
      </c>
      <c r="B4" s="7">
        <v>388</v>
      </c>
      <c r="C4" s="7">
        <v>509</v>
      </c>
      <c r="F4" s="8"/>
      <c r="G4" s="8"/>
      <c r="H4" s="9"/>
      <c r="I4" s="9"/>
      <c r="J4" s="9"/>
    </row>
    <row r="5" spans="1:10">
      <c r="A5" s="7">
        <v>4</v>
      </c>
      <c r="B5" s="7">
        <v>420</v>
      </c>
      <c r="C5" s="7">
        <v>515</v>
      </c>
      <c r="F5" s="8"/>
      <c r="G5" s="8"/>
      <c r="H5" s="9"/>
      <c r="I5" s="9"/>
      <c r="J5" s="9"/>
    </row>
    <row r="6" spans="1:10">
      <c r="A6" s="7">
        <v>5</v>
      </c>
      <c r="B6" s="7">
        <v>450</v>
      </c>
      <c r="C6" s="7">
        <v>520</v>
      </c>
      <c r="F6" s="8"/>
      <c r="G6" s="8"/>
      <c r="H6" s="9"/>
      <c r="I6" s="9"/>
      <c r="J6" s="9"/>
    </row>
    <row r="7" spans="1:10">
      <c r="A7" s="7">
        <v>6</v>
      </c>
      <c r="B7" s="7">
        <v>450</v>
      </c>
      <c r="C7" s="7">
        <v>519</v>
      </c>
      <c r="F7" s="10"/>
      <c r="G7" s="10"/>
      <c r="H7" s="11"/>
      <c r="I7" s="10"/>
      <c r="J7" s="10"/>
    </row>
    <row r="8" spans="1:10">
      <c r="A8" s="7">
        <v>7</v>
      </c>
      <c r="B8" s="7">
        <v>500</v>
      </c>
      <c r="C8" s="7">
        <v>525</v>
      </c>
    </row>
    <row r="9" spans="1:10">
      <c r="A9" s="7">
        <v>8</v>
      </c>
      <c r="B9" s="7">
        <v>520</v>
      </c>
      <c r="C9" s="7">
        <v>526</v>
      </c>
    </row>
    <row r="10" spans="1:10">
      <c r="A10" s="7">
        <v>9</v>
      </c>
      <c r="B10" s="7">
        <v>550</v>
      </c>
      <c r="C10" s="7">
        <v>530</v>
      </c>
    </row>
    <row r="11" spans="1:10">
      <c r="A11" s="7">
        <v>10</v>
      </c>
      <c r="B11" s="7">
        <v>600</v>
      </c>
      <c r="C11" s="7">
        <v>550</v>
      </c>
    </row>
    <row r="12" spans="1:10">
      <c r="A12" s="7">
        <v>11</v>
      </c>
      <c r="B12" s="7">
        <v>605</v>
      </c>
      <c r="C12" s="7">
        <v>570</v>
      </c>
    </row>
    <row r="13" spans="1:10">
      <c r="A13" s="7">
        <v>12</v>
      </c>
      <c r="B13" s="7">
        <v>620</v>
      </c>
      <c r="C13" s="7">
        <v>560</v>
      </c>
    </row>
    <row r="14" spans="1:10">
      <c r="A14" s="7">
        <v>13</v>
      </c>
      <c r="B14" s="7">
        <v>630</v>
      </c>
      <c r="C14" s="7">
        <v>555</v>
      </c>
    </row>
    <row r="15" spans="1:10">
      <c r="A15" s="7">
        <v>14</v>
      </c>
      <c r="B15" s="7">
        <v>655</v>
      </c>
      <c r="C15" s="7">
        <v>555</v>
      </c>
    </row>
    <row r="16" spans="1:10">
      <c r="A16" s="7">
        <v>15</v>
      </c>
      <c r="B16" s="7">
        <v>690</v>
      </c>
      <c r="C16" s="7">
        <v>560</v>
      </c>
    </row>
    <row r="17" spans="1:3">
      <c r="A17" s="7">
        <v>16</v>
      </c>
      <c r="B17" s="7">
        <v>690</v>
      </c>
      <c r="C17" s="7">
        <v>560</v>
      </c>
    </row>
    <row r="18" spans="1:3">
      <c r="A18" s="7">
        <v>17</v>
      </c>
      <c r="B18" s="7">
        <v>710</v>
      </c>
      <c r="C18" s="7">
        <v>562</v>
      </c>
    </row>
    <row r="19" spans="1:3">
      <c r="A19" s="7">
        <v>18</v>
      </c>
      <c r="B19" s="7">
        <v>720</v>
      </c>
      <c r="C19" s="7">
        <v>580</v>
      </c>
    </row>
    <row r="20" spans="1:3">
      <c r="A20" s="7">
        <v>19</v>
      </c>
      <c r="B20" s="7">
        <v>745</v>
      </c>
      <c r="C20" s="7">
        <v>581</v>
      </c>
    </row>
    <row r="21" spans="1:3">
      <c r="A21" s="7">
        <v>20</v>
      </c>
      <c r="B21" s="7">
        <v>760</v>
      </c>
      <c r="C21" s="7">
        <v>582</v>
      </c>
    </row>
    <row r="22" spans="1:3">
      <c r="A22" s="7">
        <v>21</v>
      </c>
      <c r="B22" s="7">
        <v>780</v>
      </c>
      <c r="C22" s="7">
        <v>585</v>
      </c>
    </row>
    <row r="23" spans="1:3">
      <c r="A23" s="7">
        <v>22</v>
      </c>
      <c r="B23" s="7">
        <v>840</v>
      </c>
      <c r="C23" s="7">
        <v>590</v>
      </c>
    </row>
    <row r="24" spans="1:3">
      <c r="A24" s="7">
        <v>23</v>
      </c>
      <c r="B24" s="7">
        <v>845</v>
      </c>
      <c r="C24" s="7">
        <v>601</v>
      </c>
    </row>
    <row r="25" spans="1:3">
      <c r="A25" s="7">
        <v>24</v>
      </c>
      <c r="B25" s="7">
        <v>850</v>
      </c>
      <c r="C25" s="7">
        <v>612</v>
      </c>
    </row>
    <row r="26" spans="1:3">
      <c r="A26" s="7">
        <v>25</v>
      </c>
      <c r="B26" s="7">
        <v>860</v>
      </c>
      <c r="C26" s="7">
        <v>610</v>
      </c>
    </row>
    <row r="27" spans="1:3">
      <c r="A27" s="7">
        <v>26</v>
      </c>
      <c r="B27" s="7">
        <v>890</v>
      </c>
      <c r="C27" s="7">
        <v>611</v>
      </c>
    </row>
    <row r="28" spans="1:3">
      <c r="A28" s="7">
        <v>27</v>
      </c>
      <c r="B28" s="7">
        <v>940</v>
      </c>
      <c r="C28" s="7">
        <v>615</v>
      </c>
    </row>
    <row r="29" spans="1:3">
      <c r="A29" s="7">
        <v>28</v>
      </c>
      <c r="B29" s="7">
        <v>960</v>
      </c>
      <c r="C29" s="7">
        <v>620</v>
      </c>
    </row>
    <row r="30" spans="1:3">
      <c r="A30" s="7">
        <v>29</v>
      </c>
      <c r="B30" s="7">
        <v>980</v>
      </c>
      <c r="C30" s="7">
        <v>621</v>
      </c>
    </row>
    <row r="31" spans="1:3">
      <c r="A31" s="7">
        <v>30</v>
      </c>
      <c r="B31" s="7">
        <v>990</v>
      </c>
      <c r="C31" s="7">
        <v>622</v>
      </c>
    </row>
    <row r="32" ht="15.15"/>
    <row r="33" spans="1:3">
      <c r="A33" s="4"/>
      <c r="B33" s="4" t="s">
        <v>34</v>
      </c>
      <c r="C33" s="4" t="s">
        <v>36</v>
      </c>
    </row>
    <row r="34" spans="1:3">
      <c r="A34" s="2" t="s">
        <v>34</v>
      </c>
      <c r="B34" s="2">
        <v>1</v>
      </c>
      <c r="C34" s="2">
        <f>B35</f>
        <v>0.983720697847245</v>
      </c>
    </row>
    <row r="35" ht="15.15" spans="1:3">
      <c r="A35" s="3" t="s">
        <v>36</v>
      </c>
      <c r="B35" s="3">
        <v>0.983720697847245</v>
      </c>
      <c r="C35" s="3">
        <v>1</v>
      </c>
    </row>
    <row r="38" spans="1:3">
      <c r="A38" s="28" t="s">
        <v>89</v>
      </c>
      <c r="B38" s="28"/>
      <c r="C38" s="28"/>
    </row>
    <row r="39" spans="1:3">
      <c r="A39" s="28"/>
      <c r="B39" s="28"/>
      <c r="C39" s="28"/>
    </row>
    <row r="40" spans="1:3">
      <c r="A40" s="28"/>
      <c r="B40" s="28"/>
      <c r="C40" s="28"/>
    </row>
    <row r="41" spans="1:3">
      <c r="A41" s="28"/>
      <c r="B41" s="28"/>
      <c r="C41" s="28"/>
    </row>
    <row r="42" spans="1:3">
      <c r="A42" s="28"/>
      <c r="B42" s="28"/>
      <c r="C42" s="28"/>
    </row>
    <row r="43" spans="1:3">
      <c r="A43" s="28"/>
      <c r="B43" s="28"/>
      <c r="C43" s="28"/>
    </row>
    <row r="44" spans="1:3">
      <c r="A44" s="28"/>
      <c r="B44" s="28"/>
      <c r="C44" s="28"/>
    </row>
  </sheetData>
  <mergeCells count="1">
    <mergeCell ref="A38:C44"/>
  </mergeCells>
  <conditionalFormatting sqref="B34:C35">
    <cfRule type="cellIs" dxfId="1" priority="1" operator="notBetween">
      <formula>-0.7</formula>
      <formula>0.7</formula>
    </cfRule>
  </conditionalFormatting>
  <pageMargins left="0.7" right="0.7" top="0.75" bottom="0.75" header="0.3" footer="0.3"/>
  <headerFooter/>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54"/>
  <sheetViews>
    <sheetView workbookViewId="0">
      <selection activeCell="G8" sqref="G8"/>
    </sheetView>
  </sheetViews>
  <sheetFormatPr defaultColWidth="9" defaultRowHeight="14.4"/>
  <cols>
    <col min="1" max="1" width="46.4444444444444" customWidth="1"/>
    <col min="2" max="2" width="33.1111111111111" customWidth="1"/>
    <col min="3" max="3" width="21" customWidth="1"/>
    <col min="4" max="4" width="22.6666666666667" customWidth="1"/>
    <col min="5" max="5" width="12" customWidth="1"/>
  </cols>
  <sheetData>
    <row r="1" spans="1:9">
      <c r="A1" t="s">
        <v>51</v>
      </c>
    </row>
    <row r="2" ht="15.15"/>
    <row r="3" spans="1:9">
      <c r="A3" s="1" t="s">
        <v>52</v>
      </c>
      <c r="B3" s="1"/>
    </row>
    <row r="4" spans="1:9">
      <c r="A4" s="2" t="s">
        <v>53</v>
      </c>
      <c r="B4" s="2">
        <v>0.983720697847245</v>
      </c>
    </row>
    <row r="5" spans="1:9">
      <c r="A5" s="2" t="s">
        <v>54</v>
      </c>
      <c r="B5" s="2">
        <v>0.96770641137307</v>
      </c>
    </row>
    <row r="6" spans="1:9">
      <c r="A6" s="2" t="s">
        <v>55</v>
      </c>
      <c r="B6" s="2">
        <v>0.966553068922109</v>
      </c>
    </row>
    <row r="7" spans="1:9">
      <c r="A7" s="2" t="s">
        <v>56</v>
      </c>
      <c r="B7" s="2">
        <v>35.6678174093423</v>
      </c>
    </row>
    <row r="8" ht="15.15" spans="1:9">
      <c r="A8" s="3" t="s">
        <v>57</v>
      </c>
      <c r="B8" s="3">
        <v>30</v>
      </c>
    </row>
    <row r="10" ht="15.15" spans="1:9">
      <c r="A10" t="s">
        <v>58</v>
      </c>
    </row>
    <row r="11" spans="1:9">
      <c r="A11" s="4"/>
      <c r="B11" s="4" t="s">
        <v>59</v>
      </c>
      <c r="C11" s="4" t="s">
        <v>60</v>
      </c>
      <c r="D11" s="4" t="s">
        <v>61</v>
      </c>
      <c r="E11" s="4" t="s">
        <v>62</v>
      </c>
      <c r="F11" s="4" t="s">
        <v>63</v>
      </c>
    </row>
    <row r="12" spans="1:9">
      <c r="A12" s="2" t="s">
        <v>64</v>
      </c>
      <c r="B12" s="2">
        <v>1</v>
      </c>
      <c r="C12" s="2">
        <v>1067427.55710177</v>
      </c>
      <c r="D12" s="2">
        <v>1067427.55710177</v>
      </c>
      <c r="E12" s="2">
        <v>839.045168732064</v>
      </c>
      <c r="F12" s="2">
        <v>2.03591147601261e-22</v>
      </c>
    </row>
    <row r="13" spans="1:9">
      <c r="A13" s="2" t="s">
        <v>65</v>
      </c>
      <c r="B13" s="2">
        <v>28</v>
      </c>
      <c r="C13" s="2">
        <v>35621.4095648931</v>
      </c>
      <c r="D13" s="2">
        <v>1272.19319874618</v>
      </c>
      <c r="E13" s="2"/>
      <c r="F13" s="2"/>
    </row>
    <row r="14" ht="15.15" spans="1:9">
      <c r="A14" s="3" t="s">
        <v>66</v>
      </c>
      <c r="B14" s="3">
        <v>29</v>
      </c>
      <c r="C14" s="3">
        <v>1103048.96666667</v>
      </c>
      <c r="D14" s="3"/>
      <c r="E14" s="3"/>
      <c r="F14" s="3"/>
    </row>
    <row r="15" ht="15.15"/>
    <row r="16" spans="1:9">
      <c r="A16" s="4"/>
      <c r="B16" s="4" t="s">
        <v>67</v>
      </c>
      <c r="C16" s="4" t="s">
        <v>56</v>
      </c>
      <c r="D16" s="4" t="s">
        <v>68</v>
      </c>
      <c r="E16" s="4" t="s">
        <v>69</v>
      </c>
      <c r="F16" s="4" t="s">
        <v>70</v>
      </c>
      <c r="G16" s="4" t="s">
        <v>71</v>
      </c>
      <c r="H16" s="4" t="s">
        <v>72</v>
      </c>
      <c r="I16" s="4" t="s">
        <v>73</v>
      </c>
    </row>
    <row r="17" spans="1:9">
      <c r="A17" s="2" t="s">
        <v>74</v>
      </c>
      <c r="B17" s="2">
        <v>-2130.69106668393</v>
      </c>
      <c r="C17" s="2">
        <v>97.147005229769</v>
      </c>
      <c r="D17" s="2">
        <v>-21.9326479662907</v>
      </c>
      <c r="E17" s="2">
        <v>3.56126163462595e-19</v>
      </c>
      <c r="F17" s="2">
        <v>-2329.68768600061</v>
      </c>
      <c r="G17" s="2">
        <v>-1931.69444736725</v>
      </c>
      <c r="H17" s="2">
        <v>-2329.68768600061</v>
      </c>
      <c r="I17" s="2">
        <v>-1931.69444736725</v>
      </c>
    </row>
    <row r="18" ht="15.15" spans="1:9">
      <c r="A18" s="3" t="s">
        <v>36</v>
      </c>
      <c r="B18" s="3">
        <v>4.96754729892179</v>
      </c>
      <c r="C18" s="3">
        <v>0.171494162024193</v>
      </c>
      <c r="D18" s="3">
        <v>28.9662764043303</v>
      </c>
      <c r="E18" s="3">
        <v>2.03591147601262e-22</v>
      </c>
      <c r="F18" s="3">
        <v>4.61625743265524</v>
      </c>
      <c r="G18" s="3">
        <v>5.31883716518834</v>
      </c>
      <c r="H18" s="3">
        <v>4.61625743265524</v>
      </c>
      <c r="I18" s="3">
        <v>5.31883716518834</v>
      </c>
    </row>
    <row r="22" spans="1:9">
      <c r="A22" t="s">
        <v>75</v>
      </c>
      <c r="F22" t="s">
        <v>76</v>
      </c>
    </row>
    <row r="23" ht="15.15"/>
    <row r="24" spans="1:9">
      <c r="A24" s="4" t="s">
        <v>77</v>
      </c>
      <c r="B24" s="4" t="s">
        <v>78</v>
      </c>
      <c r="C24" s="4" t="s">
        <v>79</v>
      </c>
      <c r="D24" s="4" t="s">
        <v>80</v>
      </c>
      <c r="F24" s="4" t="s">
        <v>81</v>
      </c>
      <c r="G24" s="4" t="s">
        <v>34</v>
      </c>
    </row>
    <row r="25" spans="1:9">
      <c r="A25" s="2">
        <v>1</v>
      </c>
      <c r="B25" s="2">
        <v>353.082582776966</v>
      </c>
      <c r="C25" s="2">
        <v>-18.0825827769663</v>
      </c>
      <c r="D25" s="2">
        <v>-0.515945596751478</v>
      </c>
      <c r="F25" s="2">
        <v>1.66666666666667</v>
      </c>
      <c r="G25" s="2">
        <v>335</v>
      </c>
    </row>
    <row r="26" spans="1:9">
      <c r="A26" s="2">
        <v>2</v>
      </c>
      <c r="B26" s="2">
        <v>402.758055766184</v>
      </c>
      <c r="C26" s="2">
        <v>-66.758055766184</v>
      </c>
      <c r="D26" s="2">
        <v>-1.90479011461386</v>
      </c>
      <c r="F26" s="2">
        <v>5</v>
      </c>
      <c r="G26" s="2">
        <v>336</v>
      </c>
    </row>
    <row r="27" spans="1:9">
      <c r="A27" s="2">
        <v>3</v>
      </c>
      <c r="B27" s="2">
        <v>397.790508467262</v>
      </c>
      <c r="C27" s="2">
        <v>-9.79050846726204</v>
      </c>
      <c r="D27" s="2">
        <v>-0.2793500129902</v>
      </c>
      <c r="F27" s="2">
        <v>8.33333333333333</v>
      </c>
      <c r="G27" s="2">
        <v>388</v>
      </c>
    </row>
    <row r="28" spans="1:9">
      <c r="A28" s="2">
        <v>4</v>
      </c>
      <c r="B28" s="2">
        <v>427.595792260793</v>
      </c>
      <c r="C28" s="2">
        <v>-7.59579226079313</v>
      </c>
      <c r="D28" s="2">
        <v>-0.216728750485093</v>
      </c>
      <c r="F28" s="2">
        <v>11.6666666666667</v>
      </c>
      <c r="G28" s="2">
        <v>420</v>
      </c>
    </row>
    <row r="29" spans="1:9">
      <c r="A29" s="2">
        <v>5</v>
      </c>
      <c r="B29" s="2">
        <v>452.433528755402</v>
      </c>
      <c r="C29" s="2">
        <v>-2.43352875540177</v>
      </c>
      <c r="D29" s="2">
        <v>-0.0694352383950922</v>
      </c>
      <c r="F29" s="2">
        <v>15</v>
      </c>
      <c r="G29" s="2">
        <v>450</v>
      </c>
    </row>
    <row r="30" spans="1:9">
      <c r="A30" s="2">
        <v>6</v>
      </c>
      <c r="B30" s="2">
        <v>447.46598145648</v>
      </c>
      <c r="C30" s="2">
        <v>2.53401854351978</v>
      </c>
      <c r="D30" s="2">
        <v>0.0723024871912111</v>
      </c>
      <c r="F30" s="2">
        <v>18.3333333333333</v>
      </c>
      <c r="G30" s="2">
        <v>450</v>
      </c>
    </row>
    <row r="31" spans="1:9">
      <c r="A31" s="2">
        <v>7</v>
      </c>
      <c r="B31" s="2">
        <v>477.271265250011</v>
      </c>
      <c r="C31" s="2">
        <v>22.7287347499891</v>
      </c>
      <c r="D31" s="2">
        <v>0.648513033709258</v>
      </c>
      <c r="F31" s="2">
        <v>21.6666666666667</v>
      </c>
      <c r="G31" s="2">
        <v>500</v>
      </c>
    </row>
    <row r="32" spans="1:9">
      <c r="A32" s="2">
        <v>8</v>
      </c>
      <c r="B32" s="2">
        <v>482.238812548932</v>
      </c>
      <c r="C32" s="2">
        <v>37.7611874510676</v>
      </c>
      <c r="D32" s="2">
        <v>1.07743006813732</v>
      </c>
      <c r="F32" s="2">
        <v>25</v>
      </c>
      <c r="G32" s="2">
        <v>520</v>
      </c>
    </row>
    <row r="33" spans="1:7">
      <c r="A33" s="2">
        <v>9</v>
      </c>
      <c r="B33" s="2">
        <v>502.10900174462</v>
      </c>
      <c r="C33" s="2">
        <v>47.8909982553801</v>
      </c>
      <c r="D33" s="2">
        <v>1.36646130581361</v>
      </c>
      <c r="F33" s="2">
        <v>28.3333333333333</v>
      </c>
      <c r="G33" s="2">
        <v>550</v>
      </c>
    </row>
    <row r="34" spans="1:7">
      <c r="A34" s="2">
        <v>10</v>
      </c>
      <c r="B34" s="2">
        <v>601.459947723055</v>
      </c>
      <c r="C34" s="2">
        <v>-1.45994772305539</v>
      </c>
      <c r="D34" s="2">
        <v>-0.0416563058766845</v>
      </c>
      <c r="F34" s="2">
        <v>31.6666666666667</v>
      </c>
      <c r="G34" s="2">
        <v>600</v>
      </c>
    </row>
    <row r="35" spans="1:7">
      <c r="A35" s="2">
        <v>11</v>
      </c>
      <c r="B35" s="2">
        <v>700.810893701491</v>
      </c>
      <c r="C35" s="2">
        <v>-95.8108937014913</v>
      </c>
      <c r="D35" s="2">
        <v>-2.7337471275993</v>
      </c>
      <c r="F35" s="2">
        <v>35</v>
      </c>
      <c r="G35" s="2">
        <v>605</v>
      </c>
    </row>
    <row r="36" spans="1:7">
      <c r="A36" s="2">
        <v>12</v>
      </c>
      <c r="B36" s="2">
        <v>651.135420712274</v>
      </c>
      <c r="C36" s="2">
        <v>-31.1354207122736</v>
      </c>
      <c r="D36" s="2">
        <v>-0.888378801725434</v>
      </c>
      <c r="F36" s="2">
        <v>38.3333333333333</v>
      </c>
      <c r="G36" s="2">
        <v>620</v>
      </c>
    </row>
    <row r="37" spans="1:7">
      <c r="A37" s="2">
        <v>13</v>
      </c>
      <c r="B37" s="2">
        <v>626.297684217664</v>
      </c>
      <c r="C37" s="2">
        <v>3.70231578233552</v>
      </c>
      <c r="D37" s="2">
        <v>0.105637206213303</v>
      </c>
      <c r="F37" s="2">
        <v>41.6666666666667</v>
      </c>
      <c r="G37" s="2">
        <v>630</v>
      </c>
    </row>
    <row r="38" spans="1:7">
      <c r="A38" s="2">
        <v>14</v>
      </c>
      <c r="B38" s="2">
        <v>626.297684217664</v>
      </c>
      <c r="C38" s="2">
        <v>28.7023157823355</v>
      </c>
      <c r="D38" s="2">
        <v>0.818955656231256</v>
      </c>
      <c r="F38" s="2">
        <v>45</v>
      </c>
      <c r="G38" s="2">
        <v>655</v>
      </c>
    </row>
    <row r="39" spans="1:7">
      <c r="A39" s="2">
        <v>15</v>
      </c>
      <c r="B39" s="2">
        <v>651.135420712274</v>
      </c>
      <c r="C39" s="2">
        <v>38.8645792877264</v>
      </c>
      <c r="D39" s="2">
        <v>1.10891285832483</v>
      </c>
      <c r="F39" s="2">
        <v>48.3333333333333</v>
      </c>
      <c r="G39" s="2">
        <v>690</v>
      </c>
    </row>
    <row r="40" spans="1:7">
      <c r="A40" s="2">
        <v>16</v>
      </c>
      <c r="B40" s="2">
        <v>651.135420712274</v>
      </c>
      <c r="C40" s="2">
        <v>38.8645792877264</v>
      </c>
      <c r="D40" s="2">
        <v>1.10891285832483</v>
      </c>
      <c r="F40" s="2">
        <v>51.6666666666667</v>
      </c>
      <c r="G40" s="2">
        <v>690</v>
      </c>
    </row>
    <row r="41" spans="1:7">
      <c r="A41" s="2">
        <v>17</v>
      </c>
      <c r="B41" s="2">
        <v>661.070515310117</v>
      </c>
      <c r="C41" s="2">
        <v>48.9294846898829</v>
      </c>
      <c r="D41" s="2">
        <v>1.39609216716658</v>
      </c>
      <c r="F41" s="2">
        <v>55</v>
      </c>
      <c r="G41" s="2">
        <v>710</v>
      </c>
    </row>
    <row r="42" spans="1:7">
      <c r="A42" s="2">
        <v>18</v>
      </c>
      <c r="B42" s="2">
        <v>750.486366690709</v>
      </c>
      <c r="C42" s="2">
        <v>-30.486366690709</v>
      </c>
      <c r="D42" s="2">
        <v>-0.86985951337982</v>
      </c>
      <c r="F42" s="2">
        <v>58.3333333333333</v>
      </c>
      <c r="G42" s="2">
        <v>720</v>
      </c>
    </row>
    <row r="43" spans="1:7">
      <c r="A43" s="2">
        <v>19</v>
      </c>
      <c r="B43" s="2">
        <v>755.453913989631</v>
      </c>
      <c r="C43" s="2">
        <v>-10.453913989631</v>
      </c>
      <c r="D43" s="2">
        <v>-0.298278788948184</v>
      </c>
      <c r="F43" s="2">
        <v>61.6666666666667</v>
      </c>
      <c r="G43" s="2">
        <v>745</v>
      </c>
    </row>
    <row r="44" spans="1:7">
      <c r="A44" s="2">
        <v>20</v>
      </c>
      <c r="B44" s="2">
        <v>760.421461288553</v>
      </c>
      <c r="C44" s="2">
        <v>-0.421461288552564</v>
      </c>
      <c r="D44" s="2">
        <v>-0.0120254445237154</v>
      </c>
      <c r="F44" s="2">
        <v>65</v>
      </c>
      <c r="G44" s="2">
        <v>760</v>
      </c>
    </row>
    <row r="45" spans="1:7">
      <c r="A45" s="2">
        <v>21</v>
      </c>
      <c r="B45" s="2">
        <v>775.324103185318</v>
      </c>
      <c r="C45" s="2">
        <v>4.67589681468189</v>
      </c>
      <c r="D45" s="2">
        <v>0.133416138731711</v>
      </c>
      <c r="F45" s="2">
        <v>68.3333333333333</v>
      </c>
      <c r="G45" s="2">
        <v>780</v>
      </c>
    </row>
    <row r="46" spans="1:7">
      <c r="A46" s="2">
        <v>22</v>
      </c>
      <c r="B46" s="2">
        <v>800.161839679927</v>
      </c>
      <c r="C46" s="2">
        <v>39.8381603200728</v>
      </c>
      <c r="D46" s="2">
        <v>1.13669179084324</v>
      </c>
      <c r="F46" s="2">
        <v>71.6666666666667</v>
      </c>
      <c r="G46" s="2">
        <v>840</v>
      </c>
    </row>
    <row r="47" spans="1:7">
      <c r="A47" s="2">
        <v>23</v>
      </c>
      <c r="B47" s="2">
        <v>854.804859968066</v>
      </c>
      <c r="C47" s="2">
        <v>-9.80485996806647</v>
      </c>
      <c r="D47" s="2">
        <v>-0.27975950060257</v>
      </c>
      <c r="F47" s="2">
        <v>75</v>
      </c>
      <c r="G47" s="2">
        <v>845</v>
      </c>
    </row>
    <row r="48" spans="1:7">
      <c r="A48" s="2">
        <v>24</v>
      </c>
      <c r="B48" s="2">
        <v>909.447880256206</v>
      </c>
      <c r="C48" s="2">
        <v>-59.4478802562062</v>
      </c>
      <c r="D48" s="2">
        <v>-1.69621079204839</v>
      </c>
      <c r="F48" s="2">
        <v>78.3333333333333</v>
      </c>
      <c r="G48" s="2">
        <v>850</v>
      </c>
    </row>
    <row r="49" spans="1:7">
      <c r="A49" s="2">
        <v>25</v>
      </c>
      <c r="B49" s="2">
        <v>899.512785658363</v>
      </c>
      <c r="C49" s="2">
        <v>-39.5127856583626</v>
      </c>
      <c r="D49" s="2">
        <v>-1.12740796086859</v>
      </c>
      <c r="F49" s="2">
        <v>81.6666666666667</v>
      </c>
      <c r="G49" s="2">
        <v>860</v>
      </c>
    </row>
    <row r="50" spans="1:7">
      <c r="A50" s="2">
        <v>26</v>
      </c>
      <c r="B50" s="2">
        <v>904.480332957285</v>
      </c>
      <c r="C50" s="2">
        <v>-14.4803329572846</v>
      </c>
      <c r="D50" s="2">
        <v>-0.413163546433366</v>
      </c>
      <c r="F50" s="2">
        <v>85</v>
      </c>
      <c r="G50" s="2">
        <v>890</v>
      </c>
    </row>
    <row r="51" spans="1:7">
      <c r="A51" s="2">
        <v>27</v>
      </c>
      <c r="B51" s="2">
        <v>924.350522152972</v>
      </c>
      <c r="C51" s="2">
        <v>15.6494778470283</v>
      </c>
      <c r="D51" s="2">
        <v>0.4465224512573</v>
      </c>
      <c r="F51" s="2">
        <v>88.3333333333333</v>
      </c>
      <c r="G51" s="2">
        <v>940</v>
      </c>
    </row>
    <row r="52" spans="1:7">
      <c r="A52" s="2">
        <v>28</v>
      </c>
      <c r="B52" s="2">
        <v>949.188258647581</v>
      </c>
      <c r="C52" s="2">
        <v>10.8117413524192</v>
      </c>
      <c r="D52" s="2">
        <v>0.308488583340106</v>
      </c>
      <c r="F52" s="2">
        <v>91.6666666666667</v>
      </c>
      <c r="G52" s="2">
        <v>960</v>
      </c>
    </row>
    <row r="53" spans="1:7">
      <c r="A53" s="2">
        <v>29</v>
      </c>
      <c r="B53" s="2">
        <v>954.155805946502</v>
      </c>
      <c r="C53" s="2">
        <v>25.8441940534976</v>
      </c>
      <c r="D53" s="2">
        <v>0.737405617768165</v>
      </c>
      <c r="F53" s="2">
        <v>95</v>
      </c>
      <c r="G53" s="2">
        <v>980</v>
      </c>
    </row>
    <row r="54" ht="15.15" spans="1:7">
      <c r="A54" s="3">
        <v>30</v>
      </c>
      <c r="B54" s="3">
        <v>959.123353245424</v>
      </c>
      <c r="C54" s="3">
        <v>30.8766467545756</v>
      </c>
      <c r="D54" s="3">
        <v>0.88099527218903</v>
      </c>
      <c r="F54" s="3">
        <v>98.3333333333333</v>
      </c>
      <c r="G54" s="3">
        <v>990</v>
      </c>
    </row>
  </sheetData>
  <sortState ref="G25:G54">
    <sortCondition ref="G25"/>
  </sortState>
  <pageMargins left="0.7" right="0.7" top="0.75" bottom="0.75" header="0.3" footer="0.3"/>
  <headerFooter/>
  <drawing r:id="rId1"/>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M156"/>
  <sheetViews>
    <sheetView zoomScale="49" zoomScaleNormal="49" topLeftCell="A69" workbookViewId="0">
      <selection activeCell="E14" sqref="E14"/>
    </sheetView>
  </sheetViews>
  <sheetFormatPr defaultColWidth="9" defaultRowHeight="14.4"/>
  <cols>
    <col min="1" max="1" width="18.6666666666667" customWidth="1"/>
    <col min="2" max="2" width="16.4444444444444" customWidth="1"/>
    <col min="3" max="3" width="21.2222222222222" customWidth="1"/>
    <col min="6" max="6" width="24.3333333333333" customWidth="1"/>
    <col min="8" max="8" width="11.6666666666667" customWidth="1"/>
    <col min="9" max="9" width="15.7777777777778" customWidth="1"/>
    <col min="10" max="10" width="21.7777777777778" customWidth="1"/>
    <col min="11" max="11" width="16.8888888888889" customWidth="1"/>
  </cols>
  <sheetData>
    <row r="1" ht="43.95" spans="1:10">
      <c r="A1" s="5" t="s">
        <v>33</v>
      </c>
      <c r="B1" s="6" t="s">
        <v>34</v>
      </c>
      <c r="C1" s="6" t="s">
        <v>36</v>
      </c>
    </row>
    <row r="2" spans="1:10">
      <c r="A2" s="7">
        <v>1</v>
      </c>
      <c r="B2" s="7">
        <v>335</v>
      </c>
      <c r="C2" s="7">
        <v>500</v>
      </c>
      <c r="F2" s="8"/>
      <c r="G2" s="8"/>
      <c r="H2" s="9"/>
      <c r="I2" s="9"/>
      <c r="J2" s="9"/>
    </row>
    <row r="3" spans="1:10">
      <c r="A3" s="7">
        <v>2</v>
      </c>
      <c r="B3" s="7">
        <v>336</v>
      </c>
      <c r="C3" s="7">
        <v>510</v>
      </c>
      <c r="F3" s="8"/>
      <c r="G3" s="8"/>
      <c r="H3" s="9"/>
      <c r="I3" s="9"/>
      <c r="J3" s="9"/>
    </row>
    <row r="4" spans="1:10">
      <c r="A4" s="7">
        <v>3</v>
      </c>
      <c r="B4" s="7">
        <v>388</v>
      </c>
      <c r="C4" s="7">
        <v>509</v>
      </c>
      <c r="F4" s="8"/>
      <c r="G4" s="8"/>
      <c r="H4" s="9"/>
      <c r="I4" s="9"/>
      <c r="J4" s="9"/>
    </row>
    <row r="5" spans="1:10">
      <c r="A5" s="7">
        <v>4</v>
      </c>
      <c r="B5" s="7">
        <v>420</v>
      </c>
      <c r="C5" s="7">
        <v>515</v>
      </c>
      <c r="F5" s="8"/>
      <c r="G5" s="8"/>
      <c r="H5" s="9"/>
      <c r="I5" s="9"/>
      <c r="J5" s="9"/>
    </row>
    <row r="6" spans="1:10">
      <c r="A6" s="7">
        <v>5</v>
      </c>
      <c r="B6" s="7">
        <v>450</v>
      </c>
      <c r="C6" s="7">
        <v>520</v>
      </c>
      <c r="F6" s="8"/>
      <c r="G6" s="8"/>
      <c r="H6" s="9"/>
      <c r="I6" s="9"/>
      <c r="J6" s="9"/>
    </row>
    <row r="7" spans="1:10">
      <c r="A7" s="7">
        <v>6</v>
      </c>
      <c r="B7" s="7">
        <v>450</v>
      </c>
      <c r="C7" s="7">
        <v>519</v>
      </c>
      <c r="F7" s="10"/>
      <c r="G7" s="10"/>
      <c r="H7" s="11"/>
      <c r="I7" s="10"/>
      <c r="J7" s="10"/>
    </row>
    <row r="8" spans="1:10">
      <c r="A8" s="7">
        <v>7</v>
      </c>
      <c r="B8" s="7">
        <v>500</v>
      </c>
      <c r="C8" s="7">
        <v>525</v>
      </c>
    </row>
    <row r="9" spans="1:10">
      <c r="A9" s="7">
        <v>8</v>
      </c>
      <c r="B9" s="7">
        <v>520</v>
      </c>
      <c r="C9" s="7">
        <v>526</v>
      </c>
    </row>
    <row r="10" spans="1:10">
      <c r="A10" s="7">
        <v>9</v>
      </c>
      <c r="B10" s="7">
        <v>550</v>
      </c>
      <c r="C10" s="7">
        <v>530</v>
      </c>
    </row>
    <row r="11" spans="1:10">
      <c r="A11" s="7">
        <v>10</v>
      </c>
      <c r="B11" s="7">
        <v>600</v>
      </c>
      <c r="C11" s="7">
        <v>550</v>
      </c>
    </row>
    <row r="12" spans="1:10">
      <c r="A12" s="7">
        <v>11</v>
      </c>
      <c r="B12" s="7">
        <v>605</v>
      </c>
      <c r="C12" s="7">
        <v>570</v>
      </c>
    </row>
    <row r="13" spans="1:10">
      <c r="A13" s="7">
        <v>12</v>
      </c>
      <c r="B13" s="7">
        <v>620</v>
      </c>
      <c r="C13" s="7">
        <v>560</v>
      </c>
    </row>
    <row r="14" spans="1:10">
      <c r="A14" s="7">
        <v>13</v>
      </c>
      <c r="B14" s="7">
        <v>630</v>
      </c>
      <c r="C14" s="7">
        <v>555</v>
      </c>
    </row>
    <row r="15" spans="1:10">
      <c r="A15" s="7">
        <v>14</v>
      </c>
      <c r="B15" s="7">
        <v>655</v>
      </c>
      <c r="C15" s="7">
        <v>555</v>
      </c>
    </row>
    <row r="16" spans="1:10">
      <c r="A16" s="7">
        <v>15</v>
      </c>
      <c r="B16" s="7">
        <v>690</v>
      </c>
      <c r="C16" s="7">
        <v>560</v>
      </c>
    </row>
    <row r="17" spans="1:3">
      <c r="A17" s="7">
        <v>16</v>
      </c>
      <c r="B17" s="7">
        <v>690</v>
      </c>
      <c r="C17" s="7">
        <v>560</v>
      </c>
    </row>
    <row r="18" spans="1:3">
      <c r="A18" s="7">
        <v>17</v>
      </c>
      <c r="B18" s="7">
        <v>710</v>
      </c>
      <c r="C18" s="7">
        <v>562</v>
      </c>
    </row>
    <row r="19" spans="1:3">
      <c r="A19" s="7">
        <v>18</v>
      </c>
      <c r="B19" s="7">
        <v>720</v>
      </c>
      <c r="C19" s="7">
        <v>580</v>
      </c>
    </row>
    <row r="20" spans="1:3">
      <c r="A20" s="7">
        <v>19</v>
      </c>
      <c r="B20" s="7">
        <v>745</v>
      </c>
      <c r="C20" s="7">
        <v>581</v>
      </c>
    </row>
    <row r="21" spans="1:3">
      <c r="A21" s="7">
        <v>20</v>
      </c>
      <c r="B21" s="7">
        <v>760</v>
      </c>
      <c r="C21" s="7">
        <v>582</v>
      </c>
    </row>
    <row r="22" spans="1:3">
      <c r="A22" s="7">
        <v>21</v>
      </c>
      <c r="B22" s="7">
        <v>780</v>
      </c>
      <c r="C22" s="7">
        <v>585</v>
      </c>
    </row>
    <row r="23" spans="1:3">
      <c r="A23" s="7">
        <v>22</v>
      </c>
      <c r="B23" s="7">
        <v>840</v>
      </c>
      <c r="C23" s="7">
        <v>590</v>
      </c>
    </row>
    <row r="24" spans="1:3">
      <c r="A24" s="7">
        <v>23</v>
      </c>
      <c r="B24" s="7">
        <v>845</v>
      </c>
      <c r="C24" s="7">
        <v>601</v>
      </c>
    </row>
    <row r="25" spans="1:3">
      <c r="A25" s="7">
        <v>24</v>
      </c>
      <c r="B25" s="7">
        <v>850</v>
      </c>
      <c r="C25" s="7">
        <v>612</v>
      </c>
    </row>
    <row r="26" spans="1:3">
      <c r="A26" s="7">
        <v>25</v>
      </c>
      <c r="B26" s="7">
        <v>860</v>
      </c>
      <c r="C26" s="7">
        <v>610</v>
      </c>
    </row>
    <row r="27" spans="1:3">
      <c r="A27" s="7">
        <v>26</v>
      </c>
      <c r="B27" s="7">
        <v>890</v>
      </c>
      <c r="C27" s="7">
        <v>611</v>
      </c>
    </row>
    <row r="28" spans="1:3">
      <c r="A28" s="7">
        <v>27</v>
      </c>
      <c r="B28" s="7">
        <v>940</v>
      </c>
      <c r="C28" s="7">
        <v>615</v>
      </c>
    </row>
    <row r="29" spans="1:3">
      <c r="A29" s="7">
        <v>28</v>
      </c>
      <c r="B29" s="7">
        <v>960</v>
      </c>
      <c r="C29" s="7">
        <v>620</v>
      </c>
    </row>
    <row r="30" spans="1:3">
      <c r="A30" s="7">
        <v>29</v>
      </c>
      <c r="B30" s="7">
        <v>980</v>
      </c>
      <c r="C30" s="7">
        <v>621</v>
      </c>
    </row>
    <row r="31" spans="1:3">
      <c r="A31" s="7">
        <v>30</v>
      </c>
      <c r="B31" s="7">
        <v>990</v>
      </c>
      <c r="C31" s="7">
        <v>622</v>
      </c>
    </row>
    <row r="33" spans="1:11">
      <c r="A33" s="12" t="s">
        <v>90</v>
      </c>
      <c r="B33" s="12"/>
      <c r="C33" s="12"/>
      <c r="D33" s="12"/>
      <c r="E33" s="12"/>
      <c r="F33" s="12"/>
    </row>
    <row r="35" ht="10.8" customHeight="1"/>
    <row r="36" ht="55.8" customHeight="1" spans="1:11">
      <c r="A36" s="13" t="s">
        <v>91</v>
      </c>
      <c r="B36" s="13"/>
      <c r="C36" s="13"/>
      <c r="F36" s="6" t="s">
        <v>92</v>
      </c>
      <c r="I36" s="13" t="s">
        <v>93</v>
      </c>
      <c r="J36" s="13"/>
      <c r="K36" s="13"/>
    </row>
    <row r="37" ht="60" customHeight="1" spans="1:11">
      <c r="A37" s="5" t="s">
        <v>33</v>
      </c>
      <c r="B37" s="6" t="s">
        <v>34</v>
      </c>
      <c r="C37" s="6" t="s">
        <v>36</v>
      </c>
      <c r="F37" s="7">
        <v>1</v>
      </c>
      <c r="I37" s="6" t="s">
        <v>34</v>
      </c>
      <c r="J37" s="6" t="s">
        <v>36</v>
      </c>
      <c r="K37" s="6" t="s">
        <v>42</v>
      </c>
    </row>
    <row r="38" spans="1:11">
      <c r="A38" s="7">
        <v>1</v>
      </c>
      <c r="B38" s="7">
        <v>335</v>
      </c>
      <c r="C38" s="7">
        <v>500</v>
      </c>
      <c r="F38" s="7">
        <f>F37*K38</f>
        <v>1.02</v>
      </c>
      <c r="I38" s="7">
        <f>B38/F38</f>
        <v>328.43137254902</v>
      </c>
      <c r="J38" s="7">
        <f>C38/F38</f>
        <v>490.196078431373</v>
      </c>
      <c r="K38" s="7">
        <v>1.02</v>
      </c>
    </row>
    <row r="39" spans="1:11">
      <c r="A39" s="7">
        <v>2</v>
      </c>
      <c r="B39" s="7">
        <v>336</v>
      </c>
      <c r="C39" s="7">
        <v>510</v>
      </c>
      <c r="F39" s="7">
        <f t="shared" ref="F39:F67" si="0">F38*K39</f>
        <v>1.0506</v>
      </c>
      <c r="I39" s="7">
        <f t="shared" ref="I39:I67" si="1">B39/F39</f>
        <v>319.817247287264</v>
      </c>
      <c r="J39" s="7">
        <f t="shared" ref="J39:J67" si="2">C39/F39</f>
        <v>485.436893203884</v>
      </c>
      <c r="K39" s="7">
        <v>1.03</v>
      </c>
    </row>
    <row r="40" spans="1:11">
      <c r="A40" s="7">
        <v>3</v>
      </c>
      <c r="B40" s="7">
        <v>388</v>
      </c>
      <c r="C40" s="7">
        <v>509</v>
      </c>
      <c r="F40" s="7">
        <f t="shared" si="0"/>
        <v>1.071612</v>
      </c>
      <c r="I40" s="7">
        <f t="shared" si="1"/>
        <v>362.071346718775</v>
      </c>
      <c r="J40" s="7">
        <f t="shared" si="2"/>
        <v>474.985349174888</v>
      </c>
      <c r="K40" s="7">
        <v>1.02</v>
      </c>
    </row>
    <row r="41" spans="1:11">
      <c r="A41" s="7">
        <v>4</v>
      </c>
      <c r="B41" s="7">
        <v>420</v>
      </c>
      <c r="C41" s="7">
        <v>515</v>
      </c>
      <c r="F41" s="7">
        <f t="shared" si="0"/>
        <v>1.11447648</v>
      </c>
      <c r="I41" s="7">
        <f t="shared" si="1"/>
        <v>376.858558737821</v>
      </c>
      <c r="J41" s="7">
        <f t="shared" si="2"/>
        <v>462.100375595185</v>
      </c>
      <c r="K41" s="7">
        <v>1.04</v>
      </c>
    </row>
    <row r="42" spans="1:11">
      <c r="A42" s="7">
        <v>5</v>
      </c>
      <c r="B42" s="7">
        <v>450</v>
      </c>
      <c r="C42" s="7">
        <v>520</v>
      </c>
      <c r="F42" s="7">
        <f t="shared" si="0"/>
        <v>1.1479107744</v>
      </c>
      <c r="I42" s="7">
        <f t="shared" si="1"/>
        <v>392.016531280674</v>
      </c>
      <c r="J42" s="7">
        <f t="shared" si="2"/>
        <v>452.996880591001</v>
      </c>
      <c r="K42" s="7">
        <v>1.03</v>
      </c>
    </row>
    <row r="43" spans="1:11">
      <c r="A43" s="7">
        <v>6</v>
      </c>
      <c r="B43" s="7">
        <v>450</v>
      </c>
      <c r="C43" s="7">
        <v>519</v>
      </c>
      <c r="F43" s="7">
        <f t="shared" si="0"/>
        <v>1.182348097632</v>
      </c>
      <c r="I43" s="7">
        <f t="shared" si="1"/>
        <v>380.598574058906</v>
      </c>
      <c r="J43" s="7">
        <f t="shared" si="2"/>
        <v>438.957022081272</v>
      </c>
      <c r="K43" s="7">
        <v>1.03</v>
      </c>
    </row>
    <row r="44" spans="1:11">
      <c r="A44" s="7">
        <v>7</v>
      </c>
      <c r="B44" s="7">
        <v>500</v>
      </c>
      <c r="C44" s="7">
        <v>525</v>
      </c>
      <c r="F44" s="7">
        <f t="shared" si="0"/>
        <v>1.22964202153728</v>
      </c>
      <c r="I44" s="7">
        <f t="shared" si="1"/>
        <v>406.622408182592</v>
      </c>
      <c r="J44" s="7">
        <f t="shared" si="2"/>
        <v>426.953528591722</v>
      </c>
      <c r="K44" s="7">
        <v>1.04</v>
      </c>
    </row>
    <row r="45" spans="1:11">
      <c r="A45" s="7">
        <v>8</v>
      </c>
      <c r="B45" s="7">
        <v>520</v>
      </c>
      <c r="C45" s="7">
        <v>526</v>
      </c>
      <c r="F45" s="7">
        <f t="shared" si="0"/>
        <v>1.29112412261414</v>
      </c>
      <c r="I45" s="7">
        <f t="shared" si="1"/>
        <v>402.749813818949</v>
      </c>
      <c r="J45" s="7">
        <f t="shared" si="2"/>
        <v>407.396927055321</v>
      </c>
      <c r="K45" s="7">
        <v>1.05</v>
      </c>
    </row>
    <row r="46" spans="1:11">
      <c r="A46" s="7">
        <v>9</v>
      </c>
      <c r="B46" s="7">
        <v>550</v>
      </c>
      <c r="C46" s="7">
        <v>530</v>
      </c>
      <c r="F46" s="7">
        <f t="shared" si="0"/>
        <v>1.38150281119713</v>
      </c>
      <c r="I46" s="7">
        <f t="shared" si="1"/>
        <v>398.117177570851</v>
      </c>
      <c r="J46" s="7">
        <f t="shared" si="2"/>
        <v>383.640189295548</v>
      </c>
      <c r="K46" s="7">
        <v>1.07</v>
      </c>
    </row>
    <row r="47" spans="1:11">
      <c r="A47" s="7">
        <v>10</v>
      </c>
      <c r="B47" s="7">
        <v>600</v>
      </c>
      <c r="C47" s="7">
        <v>550</v>
      </c>
      <c r="F47" s="7">
        <f t="shared" si="0"/>
        <v>1.65780337343656</v>
      </c>
      <c r="I47" s="7">
        <f t="shared" si="1"/>
        <v>361.924706882592</v>
      </c>
      <c r="J47" s="7">
        <f t="shared" si="2"/>
        <v>331.764314642376</v>
      </c>
      <c r="K47" s="7">
        <v>1.2</v>
      </c>
    </row>
    <row r="48" spans="1:11">
      <c r="A48" s="7">
        <v>11</v>
      </c>
      <c r="B48" s="7">
        <v>605</v>
      </c>
      <c r="C48" s="7">
        <v>570</v>
      </c>
      <c r="F48" s="7">
        <f t="shared" si="0"/>
        <v>2.0722542167957</v>
      </c>
      <c r="I48" s="7">
        <f t="shared" si="1"/>
        <v>291.952596885291</v>
      </c>
      <c r="J48" s="7">
        <f t="shared" si="2"/>
        <v>275.06277723077</v>
      </c>
      <c r="K48" s="7">
        <v>1.25</v>
      </c>
    </row>
    <row r="49" spans="1:11">
      <c r="A49" s="7">
        <v>12</v>
      </c>
      <c r="B49" s="7">
        <v>620</v>
      </c>
      <c r="C49" s="7">
        <v>560</v>
      </c>
      <c r="F49" s="7">
        <f t="shared" si="0"/>
        <v>2.6524853974985</v>
      </c>
      <c r="I49" s="7">
        <f t="shared" si="1"/>
        <v>233.743039861674</v>
      </c>
      <c r="J49" s="7">
        <f t="shared" si="2"/>
        <v>211.122745681512</v>
      </c>
      <c r="K49" s="7">
        <v>1.28</v>
      </c>
    </row>
    <row r="50" spans="1:11">
      <c r="A50" s="7">
        <v>13</v>
      </c>
      <c r="B50" s="7">
        <v>630</v>
      </c>
      <c r="C50" s="7">
        <v>555</v>
      </c>
      <c r="F50" s="7">
        <f t="shared" si="0"/>
        <v>3.50128072469802</v>
      </c>
      <c r="I50" s="7">
        <f t="shared" si="1"/>
        <v>179.934158251289</v>
      </c>
      <c r="J50" s="7">
        <f t="shared" si="2"/>
        <v>158.513425126135</v>
      </c>
      <c r="K50" s="7">
        <v>1.32</v>
      </c>
    </row>
    <row r="51" spans="1:11">
      <c r="A51" s="7">
        <v>14</v>
      </c>
      <c r="B51" s="7">
        <v>655</v>
      </c>
      <c r="C51" s="7">
        <v>555</v>
      </c>
      <c r="F51" s="7">
        <f t="shared" si="0"/>
        <v>4.72672897834232</v>
      </c>
      <c r="I51" s="7">
        <f t="shared" si="1"/>
        <v>138.573631575067</v>
      </c>
      <c r="J51" s="7">
        <f t="shared" si="2"/>
        <v>117.417351945285</v>
      </c>
      <c r="K51" s="7">
        <v>1.35</v>
      </c>
    </row>
    <row r="52" spans="1:11">
      <c r="A52" s="7">
        <v>15</v>
      </c>
      <c r="B52" s="7">
        <v>690</v>
      </c>
      <c r="C52" s="7">
        <v>560</v>
      </c>
      <c r="F52" s="7">
        <f t="shared" si="0"/>
        <v>6.23928225141187</v>
      </c>
      <c r="I52" s="7">
        <f t="shared" si="1"/>
        <v>110.589643519311</v>
      </c>
      <c r="J52" s="7">
        <f t="shared" si="2"/>
        <v>89.7539135808897</v>
      </c>
      <c r="K52" s="7">
        <v>1.32</v>
      </c>
    </row>
    <row r="53" spans="1:11">
      <c r="A53" s="7">
        <v>16</v>
      </c>
      <c r="B53" s="7">
        <v>690</v>
      </c>
      <c r="C53" s="7">
        <v>560</v>
      </c>
      <c r="F53" s="7">
        <f t="shared" si="0"/>
        <v>8.23585257186367</v>
      </c>
      <c r="I53" s="7">
        <f t="shared" si="1"/>
        <v>83.7800329691747</v>
      </c>
      <c r="J53" s="7">
        <f t="shared" si="2"/>
        <v>67.9953890764316</v>
      </c>
      <c r="K53" s="7">
        <v>1.32</v>
      </c>
    </row>
    <row r="54" spans="1:11">
      <c r="A54" s="7">
        <v>17</v>
      </c>
      <c r="B54" s="7">
        <v>710</v>
      </c>
      <c r="C54" s="7">
        <v>562</v>
      </c>
      <c r="F54" s="7">
        <f t="shared" si="0"/>
        <v>11.9419862292023</v>
      </c>
      <c r="I54" s="7">
        <f t="shared" si="1"/>
        <v>59.454096359934</v>
      </c>
      <c r="J54" s="7">
        <f t="shared" si="2"/>
        <v>47.0608481046239</v>
      </c>
      <c r="K54" s="7">
        <v>1.45</v>
      </c>
    </row>
    <row r="55" spans="1:11">
      <c r="A55" s="7">
        <v>18</v>
      </c>
      <c r="B55" s="7">
        <v>720</v>
      </c>
      <c r="C55" s="7">
        <v>580</v>
      </c>
      <c r="F55" s="7">
        <f t="shared" si="0"/>
        <v>17.6741396192194</v>
      </c>
      <c r="I55" s="7">
        <f t="shared" si="1"/>
        <v>40.7374851343286</v>
      </c>
      <c r="J55" s="7">
        <f t="shared" si="2"/>
        <v>32.8163074693203</v>
      </c>
      <c r="K55" s="7">
        <v>1.48</v>
      </c>
    </row>
    <row r="56" spans="1:11">
      <c r="A56" s="7">
        <v>19</v>
      </c>
      <c r="B56" s="7">
        <v>745</v>
      </c>
      <c r="C56" s="7">
        <v>581</v>
      </c>
      <c r="F56" s="7">
        <f t="shared" si="0"/>
        <v>23.1531229011775</v>
      </c>
      <c r="I56" s="7">
        <f t="shared" si="1"/>
        <v>32.1770848442269</v>
      </c>
      <c r="J56" s="7">
        <f t="shared" si="2"/>
        <v>25.0938071067058</v>
      </c>
      <c r="K56" s="7">
        <v>1.31</v>
      </c>
    </row>
    <row r="57" spans="1:11">
      <c r="A57" s="7">
        <v>20</v>
      </c>
      <c r="B57" s="7">
        <v>760</v>
      </c>
      <c r="C57" s="7">
        <v>582</v>
      </c>
      <c r="F57" s="7">
        <f t="shared" si="0"/>
        <v>28.2468099394365</v>
      </c>
      <c r="I57" s="7">
        <f t="shared" si="1"/>
        <v>26.90569312533</v>
      </c>
      <c r="J57" s="7">
        <f t="shared" si="2"/>
        <v>20.6040965775553</v>
      </c>
      <c r="K57" s="7">
        <v>1.22</v>
      </c>
    </row>
    <row r="58" spans="1:11">
      <c r="A58" s="7">
        <v>21</v>
      </c>
      <c r="B58" s="7">
        <v>780</v>
      </c>
      <c r="C58" s="7">
        <v>585</v>
      </c>
      <c r="F58" s="7">
        <f t="shared" si="0"/>
        <v>32.483831430352</v>
      </c>
      <c r="I58" s="7">
        <f t="shared" si="1"/>
        <v>24.0119458097911</v>
      </c>
      <c r="J58" s="7">
        <f t="shared" si="2"/>
        <v>18.0089593573433</v>
      </c>
      <c r="K58" s="7">
        <v>1.15</v>
      </c>
    </row>
    <row r="59" spans="1:11">
      <c r="A59" s="7">
        <v>22</v>
      </c>
      <c r="B59" s="7">
        <v>840</v>
      </c>
      <c r="C59" s="7">
        <v>590</v>
      </c>
      <c r="F59" s="7">
        <f t="shared" si="0"/>
        <v>36.0570528876907</v>
      </c>
      <c r="I59" s="7">
        <f t="shared" si="1"/>
        <v>23.2964131210724</v>
      </c>
      <c r="J59" s="7">
        <f t="shared" si="2"/>
        <v>16.362956835039</v>
      </c>
      <c r="K59" s="7">
        <v>1.11</v>
      </c>
    </row>
    <row r="60" spans="1:11">
      <c r="A60" s="7">
        <v>23</v>
      </c>
      <c r="B60" s="7">
        <v>845</v>
      </c>
      <c r="C60" s="7">
        <v>601</v>
      </c>
      <c r="F60" s="7">
        <f t="shared" si="0"/>
        <v>38.9416171187059</v>
      </c>
      <c r="I60" s="7">
        <f t="shared" si="1"/>
        <v>21.6991502285121</v>
      </c>
      <c r="J60" s="7">
        <f t="shared" si="2"/>
        <v>15.433360103356</v>
      </c>
      <c r="K60" s="7">
        <v>1.08</v>
      </c>
    </row>
    <row r="61" spans="1:11">
      <c r="A61" s="7">
        <v>24</v>
      </c>
      <c r="B61" s="7">
        <v>850</v>
      </c>
      <c r="C61" s="7">
        <v>612</v>
      </c>
      <c r="F61" s="7">
        <f t="shared" si="0"/>
        <v>41.2781141458283</v>
      </c>
      <c r="I61" s="7">
        <f t="shared" si="1"/>
        <v>20.5920260067381</v>
      </c>
      <c r="J61" s="7">
        <f t="shared" si="2"/>
        <v>14.8262587248514</v>
      </c>
      <c r="K61" s="7">
        <v>1.06</v>
      </c>
    </row>
    <row r="62" spans="1:11">
      <c r="A62" s="7">
        <v>25</v>
      </c>
      <c r="B62" s="7">
        <v>860</v>
      </c>
      <c r="C62" s="7">
        <v>610</v>
      </c>
      <c r="F62" s="7">
        <f t="shared" si="0"/>
        <v>43.754800994578</v>
      </c>
      <c r="I62" s="7">
        <f t="shared" si="1"/>
        <v>19.6549859775747</v>
      </c>
      <c r="J62" s="7">
        <f t="shared" si="2"/>
        <v>13.9413272631634</v>
      </c>
      <c r="K62" s="7">
        <v>1.06</v>
      </c>
    </row>
    <row r="63" spans="1:11">
      <c r="A63" s="7">
        <v>26</v>
      </c>
      <c r="B63" s="7">
        <v>890</v>
      </c>
      <c r="C63" s="7">
        <v>611</v>
      </c>
      <c r="F63" s="7">
        <f t="shared" si="0"/>
        <v>45.9425410443069</v>
      </c>
      <c r="I63" s="7">
        <f t="shared" si="1"/>
        <v>19.3720238317181</v>
      </c>
      <c r="J63" s="7">
        <f t="shared" si="2"/>
        <v>13.2992208552582</v>
      </c>
      <c r="K63" s="7">
        <v>1.05</v>
      </c>
    </row>
    <row r="64" spans="1:11">
      <c r="A64" s="7">
        <v>27</v>
      </c>
      <c r="B64" s="7">
        <v>940</v>
      </c>
      <c r="C64" s="7">
        <v>615</v>
      </c>
      <c r="F64" s="7">
        <f t="shared" si="0"/>
        <v>48.2396680965222</v>
      </c>
      <c r="I64" s="7">
        <f t="shared" si="1"/>
        <v>19.4860378831621</v>
      </c>
      <c r="J64" s="7">
        <f t="shared" si="2"/>
        <v>12.7488439341965</v>
      </c>
      <c r="K64" s="7">
        <v>1.05</v>
      </c>
    </row>
    <row r="65" spans="1:11">
      <c r="A65" s="7">
        <v>28</v>
      </c>
      <c r="B65" s="7">
        <v>960</v>
      </c>
      <c r="C65" s="7">
        <v>620</v>
      </c>
      <c r="F65" s="7">
        <f t="shared" si="0"/>
        <v>49.6868581394179</v>
      </c>
      <c r="I65" s="7">
        <f t="shared" si="1"/>
        <v>19.3210043047259</v>
      </c>
      <c r="J65" s="7">
        <f t="shared" si="2"/>
        <v>12.4781486134688</v>
      </c>
      <c r="K65" s="7">
        <v>1.03</v>
      </c>
    </row>
    <row r="66" spans="1:11">
      <c r="A66" s="7">
        <v>29</v>
      </c>
      <c r="B66" s="7">
        <v>980</v>
      </c>
      <c r="C66" s="7">
        <v>621</v>
      </c>
      <c r="F66" s="7">
        <f t="shared" si="0"/>
        <v>51.6743324649946</v>
      </c>
      <c r="I66" s="7">
        <f t="shared" si="1"/>
        <v>18.9649281035972</v>
      </c>
      <c r="J66" s="7">
        <f t="shared" si="2"/>
        <v>12.0175717880958</v>
      </c>
      <c r="K66" s="7">
        <v>1.04</v>
      </c>
    </row>
    <row r="67" spans="1:11">
      <c r="A67" s="7">
        <v>30</v>
      </c>
      <c r="B67" s="7">
        <v>990</v>
      </c>
      <c r="C67" s="7">
        <v>622</v>
      </c>
      <c r="F67" s="7">
        <f t="shared" si="0"/>
        <v>54.2580490882444</v>
      </c>
      <c r="I67" s="7">
        <f t="shared" si="1"/>
        <v>18.2461407410702</v>
      </c>
      <c r="J67" s="7">
        <f t="shared" si="2"/>
        <v>11.4637369100461</v>
      </c>
      <c r="K67" s="7">
        <v>1.05</v>
      </c>
    </row>
    <row r="69" spans="1:11">
      <c r="A69" s="12" t="s">
        <v>94</v>
      </c>
      <c r="B69" s="12"/>
      <c r="C69" s="12"/>
      <c r="D69" s="12"/>
    </row>
    <row r="70" ht="60" customHeight="1" spans="1:11">
      <c r="A70" s="5" t="s">
        <v>33</v>
      </c>
      <c r="B70" s="5" t="s">
        <v>34</v>
      </c>
      <c r="C70" s="5" t="s">
        <v>36</v>
      </c>
      <c r="K70" s="13" t="s">
        <v>95</v>
      </c>
    </row>
    <row r="71" spans="1:11">
      <c r="A71" s="7">
        <v>1</v>
      </c>
      <c r="B71" s="7">
        <v>328.43137254902</v>
      </c>
      <c r="C71" s="7">
        <v>490.196078431373</v>
      </c>
      <c r="K71" s="7">
        <f>C71*$B$111</f>
        <v>424.574019337506</v>
      </c>
    </row>
    <row r="72" spans="1:11">
      <c r="A72" s="7">
        <v>2</v>
      </c>
      <c r="B72" s="7">
        <v>319.817247287264</v>
      </c>
      <c r="C72" s="7">
        <v>485.436893203884</v>
      </c>
      <c r="K72" s="7">
        <f t="shared" ref="K72:K100" si="3">C72*$B$111</f>
        <v>420.451941479861</v>
      </c>
    </row>
    <row r="73" spans="1:11">
      <c r="A73" s="7">
        <v>3</v>
      </c>
      <c r="B73" s="7">
        <v>362.071346718775</v>
      </c>
      <c r="C73" s="7">
        <v>474.985349174888</v>
      </c>
      <c r="K73" s="7">
        <f t="shared" si="3"/>
        <v>411.399535204247</v>
      </c>
    </row>
    <row r="74" spans="1:11">
      <c r="A74" s="7">
        <v>4</v>
      </c>
      <c r="B74" s="7">
        <v>376.858558737821</v>
      </c>
      <c r="C74" s="7">
        <v>462.100375595185</v>
      </c>
      <c r="K74" s="7">
        <f t="shared" si="3"/>
        <v>400.239460159791</v>
      </c>
    </row>
    <row r="75" spans="1:11">
      <c r="A75" s="7">
        <v>5</v>
      </c>
      <c r="B75" s="7">
        <v>392.016531280674</v>
      </c>
      <c r="C75" s="7">
        <v>452.996880591001</v>
      </c>
      <c r="K75" s="7">
        <f t="shared" si="3"/>
        <v>392.354640933342</v>
      </c>
    </row>
    <row r="76" spans="1:11">
      <c r="A76" s="7">
        <v>6</v>
      </c>
      <c r="B76" s="7">
        <v>380.598574058906</v>
      </c>
      <c r="C76" s="7">
        <v>438.957022081272</v>
      </c>
      <c r="K76" s="7">
        <f t="shared" si="3"/>
        <v>380.194284250195</v>
      </c>
    </row>
    <row r="77" spans="1:11">
      <c r="A77" s="7">
        <v>7</v>
      </c>
      <c r="B77" s="7">
        <v>406.622408182592</v>
      </c>
      <c r="C77" s="7">
        <v>426.953528591722</v>
      </c>
      <c r="K77" s="7">
        <f t="shared" si="3"/>
        <v>369.797686437217</v>
      </c>
    </row>
    <row r="78" spans="1:11">
      <c r="A78" s="7">
        <v>8</v>
      </c>
      <c r="B78" s="7">
        <v>402.749813818949</v>
      </c>
      <c r="C78" s="7">
        <v>407.396927055321</v>
      </c>
      <c r="K78" s="7">
        <f t="shared" si="3"/>
        <v>352.859107602678</v>
      </c>
    </row>
    <row r="79" spans="1:11">
      <c r="A79" s="7">
        <v>9</v>
      </c>
      <c r="B79" s="7">
        <v>398.117177570851</v>
      </c>
      <c r="C79" s="7">
        <v>383.640189295548</v>
      </c>
      <c r="K79" s="7">
        <f t="shared" si="3"/>
        <v>332.282660583169</v>
      </c>
    </row>
    <row r="80" spans="1:11">
      <c r="A80" s="7">
        <v>10</v>
      </c>
      <c r="B80" s="7">
        <v>361.924706882592</v>
      </c>
      <c r="C80" s="7">
        <v>331.764314642376</v>
      </c>
      <c r="K80" s="7">
        <f t="shared" si="3"/>
        <v>287.351357422552</v>
      </c>
    </row>
    <row r="81" spans="1:13">
      <c r="A81" s="7">
        <v>11</v>
      </c>
      <c r="B81" s="7">
        <v>291.952596885291</v>
      </c>
      <c r="C81" s="7">
        <v>275.06277723077</v>
      </c>
      <c r="K81" s="7">
        <f t="shared" si="3"/>
        <v>238.240398153971</v>
      </c>
    </row>
    <row r="82" spans="1:13">
      <c r="A82" s="7">
        <v>12</v>
      </c>
      <c r="B82" s="7">
        <v>233.743039861674</v>
      </c>
      <c r="C82" s="7">
        <v>211.122745681512</v>
      </c>
      <c r="K82" s="7">
        <f t="shared" si="3"/>
        <v>182.859954723442</v>
      </c>
    </row>
    <row r="83" spans="1:13">
      <c r="A83" s="7">
        <v>13</v>
      </c>
      <c r="B83" s="7">
        <v>179.934158251289</v>
      </c>
      <c r="C83" s="7">
        <v>158.513425126135</v>
      </c>
      <c r="K83" s="7">
        <f t="shared" si="3"/>
        <v>137.293391330507</v>
      </c>
    </row>
    <row r="84" spans="1:13">
      <c r="A84" s="7">
        <v>14</v>
      </c>
      <c r="B84" s="7">
        <v>138.573631575067</v>
      </c>
      <c r="C84" s="7">
        <v>117.417351945285</v>
      </c>
      <c r="K84" s="7">
        <f t="shared" si="3"/>
        <v>101.698808392968</v>
      </c>
      <c r="M84" s="14" t="s">
        <v>96</v>
      </c>
    </row>
    <row r="85" spans="1:13">
      <c r="A85" s="7">
        <v>15</v>
      </c>
      <c r="B85" s="7">
        <v>110.589643519311</v>
      </c>
      <c r="C85" s="7">
        <v>89.7539135808897</v>
      </c>
      <c r="K85" s="7">
        <f t="shared" si="3"/>
        <v>77.7386468742315</v>
      </c>
    </row>
    <row r="86" spans="1:13">
      <c r="A86" s="7">
        <v>16</v>
      </c>
      <c r="B86" s="7">
        <v>83.7800329691747</v>
      </c>
      <c r="C86" s="7">
        <v>67.9953890764316</v>
      </c>
      <c r="K86" s="7">
        <f t="shared" si="3"/>
        <v>58.8929142986602</v>
      </c>
    </row>
    <row r="87" spans="1:13">
      <c r="A87" s="7">
        <v>17</v>
      </c>
      <c r="B87" s="7">
        <v>59.454096359934</v>
      </c>
      <c r="C87" s="7">
        <v>47.0608481046239</v>
      </c>
      <c r="K87" s="7">
        <f t="shared" si="3"/>
        <v>40.7608594037525</v>
      </c>
    </row>
    <row r="88" spans="1:13">
      <c r="A88" s="7">
        <v>18</v>
      </c>
      <c r="B88" s="7">
        <v>40.7374851343286</v>
      </c>
      <c r="C88" s="7">
        <v>32.8163074693203</v>
      </c>
      <c r="K88" s="7">
        <f t="shared" si="3"/>
        <v>28.4232211866121</v>
      </c>
    </row>
    <row r="89" spans="1:13">
      <c r="A89" s="7">
        <v>19</v>
      </c>
      <c r="B89" s="7">
        <v>32.1770848442269</v>
      </c>
      <c r="C89" s="7">
        <v>25.0938071067058</v>
      </c>
      <c r="K89" s="7">
        <f t="shared" si="3"/>
        <v>21.7345242292993</v>
      </c>
    </row>
    <row r="90" spans="1:13">
      <c r="A90" s="7">
        <v>20</v>
      </c>
      <c r="B90" s="7">
        <v>26.90569312533</v>
      </c>
      <c r="C90" s="7">
        <v>20.6040965775553</v>
      </c>
      <c r="K90" s="7">
        <f t="shared" si="3"/>
        <v>17.8458467614517</v>
      </c>
    </row>
    <row r="91" spans="1:13">
      <c r="A91" s="7">
        <v>21</v>
      </c>
      <c r="B91" s="7">
        <v>24.0119458097911</v>
      </c>
      <c r="C91" s="7">
        <v>18.0089593573433</v>
      </c>
      <c r="K91" s="7">
        <f t="shared" si="3"/>
        <v>15.5981179672034</v>
      </c>
    </row>
    <row r="92" spans="1:13">
      <c r="A92" s="7">
        <v>22</v>
      </c>
      <c r="B92" s="7">
        <v>23.2964131210724</v>
      </c>
      <c r="C92" s="7">
        <v>16.362956835039</v>
      </c>
      <c r="K92" s="7">
        <f t="shared" si="3"/>
        <v>14.1724641574652</v>
      </c>
    </row>
    <row r="93" spans="1:13">
      <c r="A93" s="7">
        <v>23</v>
      </c>
      <c r="B93" s="7">
        <v>21.6991502285121</v>
      </c>
      <c r="C93" s="7">
        <v>15.433360103356</v>
      </c>
      <c r="K93" s="7">
        <f t="shared" si="3"/>
        <v>13.3673116111685</v>
      </c>
    </row>
    <row r="94" spans="1:13">
      <c r="A94" s="7">
        <v>24</v>
      </c>
      <c r="B94" s="7">
        <v>20.5920260067381</v>
      </c>
      <c r="C94" s="7">
        <v>14.8262587248514</v>
      </c>
      <c r="K94" s="7">
        <f t="shared" si="3"/>
        <v>12.8414822874378</v>
      </c>
    </row>
    <row r="95" spans="1:13">
      <c r="A95" s="7">
        <v>25</v>
      </c>
      <c r="B95" s="7">
        <v>19.6549859775747</v>
      </c>
      <c r="C95" s="7">
        <v>13.9413272631634</v>
      </c>
      <c r="K95" s="7">
        <f t="shared" si="3"/>
        <v>12.0750157160825</v>
      </c>
    </row>
    <row r="96" spans="1:13">
      <c r="A96" s="7">
        <v>26</v>
      </c>
      <c r="B96" s="7">
        <v>19.3720238317181</v>
      </c>
      <c r="C96" s="7">
        <v>13.2992208552582</v>
      </c>
      <c r="K96" s="7">
        <f t="shared" si="3"/>
        <v>11.5188674512513</v>
      </c>
    </row>
    <row r="97" spans="1:11">
      <c r="A97" s="7">
        <v>27</v>
      </c>
      <c r="B97" s="7">
        <v>19.4860378831621</v>
      </c>
      <c r="C97" s="7">
        <v>12.7488439341965</v>
      </c>
      <c r="K97" s="7">
        <f t="shared" si="3"/>
        <v>11.0421689385387</v>
      </c>
    </row>
    <row r="98" spans="1:11">
      <c r="A98" s="7">
        <v>28</v>
      </c>
      <c r="B98" s="7">
        <v>19.3210043047259</v>
      </c>
      <c r="C98" s="7">
        <v>12.4781486134688</v>
      </c>
      <c r="K98" s="7">
        <f t="shared" si="3"/>
        <v>10.8077113298508</v>
      </c>
    </row>
    <row r="99" spans="1:11">
      <c r="A99" s="7">
        <v>29</v>
      </c>
      <c r="B99" s="7">
        <v>18.9649281035972</v>
      </c>
      <c r="C99" s="7">
        <v>12.0175717880958</v>
      </c>
      <c r="K99" s="7">
        <f t="shared" si="3"/>
        <v>10.4087914637676</v>
      </c>
    </row>
    <row r="100" spans="1:11">
      <c r="A100" s="7">
        <v>30</v>
      </c>
      <c r="B100" s="7">
        <v>18.2461407410702</v>
      </c>
      <c r="C100" s="7">
        <v>11.4637369100461</v>
      </c>
      <c r="K100" s="7">
        <f t="shared" si="3"/>
        <v>9.92909790731304</v>
      </c>
    </row>
    <row r="105" spans="1:11">
      <c r="A105" s="15" t="s">
        <v>97</v>
      </c>
      <c r="B105" s="15"/>
      <c r="C105" s="15"/>
      <c r="D105" s="15"/>
      <c r="E105" s="15"/>
    </row>
    <row r="107" ht="15.15" spans="1:11">
      <c r="A107" s="16" t="s">
        <v>98</v>
      </c>
      <c r="B107" s="16"/>
      <c r="C107" s="16"/>
    </row>
    <row r="108" spans="1:11">
      <c r="A108" s="16"/>
      <c r="B108" s="16"/>
      <c r="C108" s="16"/>
      <c r="F108" s="1" t="s">
        <v>52</v>
      </c>
      <c r="G108" s="1"/>
      <c r="I108" s="4"/>
      <c r="J108" s="4" t="s">
        <v>63</v>
      </c>
    </row>
    <row r="109" spans="1:11">
      <c r="A109" s="16"/>
      <c r="B109" s="16"/>
      <c r="C109" s="16"/>
      <c r="F109" s="2" t="s">
        <v>53</v>
      </c>
      <c r="G109" s="2">
        <v>0.985135784704481</v>
      </c>
      <c r="I109" s="2" t="s">
        <v>64</v>
      </c>
      <c r="J109" s="2">
        <v>3.56635097372101e-23</v>
      </c>
    </row>
    <row r="110" spans="1:11">
      <c r="F110" s="2" t="s">
        <v>54</v>
      </c>
      <c r="G110" s="2">
        <v>0.970492514305313</v>
      </c>
      <c r="I110" s="2" t="s">
        <v>65</v>
      </c>
      <c r="J110" s="2"/>
    </row>
    <row r="111" ht="15.15" spans="1:11">
      <c r="A111" s="13" t="s">
        <v>99</v>
      </c>
      <c r="B111" s="7">
        <v>0.866130999448513</v>
      </c>
      <c r="F111" s="2" t="s">
        <v>55</v>
      </c>
      <c r="G111" s="2">
        <v>0.936009755684623</v>
      </c>
      <c r="I111" s="3" t="s">
        <v>66</v>
      </c>
      <c r="J111" s="3"/>
    </row>
    <row r="112" spans="1:11">
      <c r="F112" s="2" t="s">
        <v>56</v>
      </c>
      <c r="G112" s="2">
        <v>40.608784356417</v>
      </c>
    </row>
    <row r="113" ht="15.15" spans="1:9">
      <c r="A113" s="17" t="s">
        <v>100</v>
      </c>
      <c r="B113" s="18"/>
      <c r="F113" s="3" t="s">
        <v>57</v>
      </c>
      <c r="G113" s="3">
        <v>30</v>
      </c>
    </row>
    <row r="114" spans="1:9">
      <c r="A114" s="19" t="s">
        <v>101</v>
      </c>
      <c r="B114" s="20"/>
    </row>
    <row r="116" customHeight="1" spans="1:9">
      <c r="A116" s="21" t="s">
        <v>102</v>
      </c>
      <c r="B116" s="21"/>
      <c r="C116" s="21"/>
      <c r="D116" s="21"/>
      <c r="F116" s="22" t="s">
        <v>103</v>
      </c>
      <c r="G116" s="22"/>
      <c r="H116" s="22"/>
      <c r="I116" s="22"/>
    </row>
    <row r="117" spans="1:9">
      <c r="A117" s="21"/>
      <c r="B117" s="21"/>
      <c r="C117" s="21"/>
      <c r="D117" s="21"/>
      <c r="F117" s="22"/>
      <c r="G117" s="22"/>
      <c r="H117" s="22"/>
      <c r="I117" s="22"/>
    </row>
    <row r="118" spans="1:9">
      <c r="A118" s="21"/>
      <c r="B118" s="21"/>
      <c r="C118" s="21"/>
      <c r="D118" s="21"/>
      <c r="F118" s="22"/>
      <c r="G118" s="22"/>
      <c r="H118" s="22"/>
      <c r="I118" s="22"/>
    </row>
    <row r="119" spans="1:9">
      <c r="A119" s="21"/>
      <c r="B119" s="21"/>
      <c r="C119" s="21"/>
      <c r="D119" s="21"/>
      <c r="F119" s="22"/>
      <c r="G119" s="22"/>
      <c r="H119" s="22"/>
      <c r="I119" s="22"/>
    </row>
    <row r="122" spans="1:9">
      <c r="A122" s="15" t="s">
        <v>104</v>
      </c>
      <c r="B122" s="15"/>
      <c r="C122" s="15"/>
    </row>
    <row r="123" spans="1:9">
      <c r="A123" s="23" t="s">
        <v>105</v>
      </c>
      <c r="B123" s="7">
        <v>10</v>
      </c>
    </row>
    <row r="124" spans="1:9">
      <c r="A124" s="23" t="s">
        <v>106</v>
      </c>
      <c r="B124" s="7">
        <f>MIN(C71:C100)*0.5</f>
        <v>5.73186845502305</v>
      </c>
    </row>
    <row r="125" spans="1:9">
      <c r="A125" s="23" t="s">
        <v>107</v>
      </c>
      <c r="B125" s="7">
        <f>MAX(C71:C100)*1.5</f>
        <v>735.294117647059</v>
      </c>
    </row>
    <row r="126" spans="1:9">
      <c r="A126" s="24" t="s">
        <v>108</v>
      </c>
      <c r="B126" s="7">
        <f>ROUND((B125-B124)/(B123-1),0)</f>
        <v>81</v>
      </c>
    </row>
    <row r="127" spans="1:9">
      <c r="A127" s="24"/>
      <c r="B127" s="7"/>
    </row>
    <row r="128" spans="1:9">
      <c r="A128" s="24"/>
      <c r="B128" s="7"/>
    </row>
    <row r="131" spans="1:11">
      <c r="A131" s="17" t="s">
        <v>109</v>
      </c>
      <c r="B131" s="25"/>
      <c r="C131" s="25"/>
      <c r="D131" s="25"/>
      <c r="E131" s="25"/>
      <c r="F131" s="25"/>
      <c r="G131" s="25"/>
      <c r="H131" s="25"/>
      <c r="I131" s="25"/>
      <c r="J131" s="25"/>
      <c r="K131" s="26"/>
    </row>
    <row r="132" spans="1:11">
      <c r="A132" s="27" t="s">
        <v>110</v>
      </c>
      <c r="B132" s="25"/>
      <c r="C132" s="25"/>
      <c r="D132" s="25"/>
      <c r="E132" s="25"/>
      <c r="F132" s="25"/>
      <c r="G132" s="25"/>
      <c r="H132" s="25"/>
      <c r="I132" s="25"/>
      <c r="J132" s="25"/>
      <c r="K132" s="26"/>
    </row>
    <row r="133" spans="1:11">
      <c r="A133" s="23" t="s">
        <v>111</v>
      </c>
      <c r="B133" s="7">
        <f>B124</f>
        <v>5.73186845502305</v>
      </c>
      <c r="C133" s="7">
        <f>B133+$B$126</f>
        <v>86.731868455023</v>
      </c>
      <c r="D133" s="7">
        <f t="shared" ref="D133:K133" si="4">C133+$B$126</f>
        <v>167.731868455023</v>
      </c>
      <c r="E133" s="7">
        <f t="shared" si="4"/>
        <v>248.731868455023</v>
      </c>
      <c r="F133" s="7">
        <f t="shared" si="4"/>
        <v>329.731868455023</v>
      </c>
      <c r="G133" s="7">
        <f t="shared" si="4"/>
        <v>410.731868455023</v>
      </c>
      <c r="H133" s="7">
        <f t="shared" si="4"/>
        <v>491.731868455023</v>
      </c>
      <c r="I133" s="7">
        <f t="shared" si="4"/>
        <v>572.731868455023</v>
      </c>
      <c r="J133" s="7">
        <f t="shared" si="4"/>
        <v>653.731868455023</v>
      </c>
      <c r="K133" s="7">
        <f t="shared" si="4"/>
        <v>734.731868455023</v>
      </c>
    </row>
    <row r="134" spans="1:11">
      <c r="A134" s="23" t="s">
        <v>112</v>
      </c>
      <c r="B134" s="7">
        <f>$B$111*B133</f>
        <v>4.96454895365652</v>
      </c>
      <c r="C134" s="7">
        <f t="shared" ref="C134:K134" si="5">$B$111*C133</f>
        <v>75.1211599089861</v>
      </c>
      <c r="D134" s="7">
        <f t="shared" si="5"/>
        <v>145.277770864316</v>
      </c>
      <c r="E134" s="7">
        <f t="shared" si="5"/>
        <v>215.434381819645</v>
      </c>
      <c r="F134" s="7">
        <f t="shared" si="5"/>
        <v>285.590992774975</v>
      </c>
      <c r="G134" s="7">
        <f t="shared" si="5"/>
        <v>355.747603730304</v>
      </c>
      <c r="H134" s="7">
        <f t="shared" si="5"/>
        <v>425.904214685634</v>
      </c>
      <c r="I134" s="7">
        <f t="shared" si="5"/>
        <v>496.060825640963</v>
      </c>
      <c r="J134" s="7">
        <f t="shared" si="5"/>
        <v>566.217436596293</v>
      </c>
      <c r="K134" s="7">
        <f t="shared" si="5"/>
        <v>636.374047551622</v>
      </c>
    </row>
    <row r="136" spans="1:11">
      <c r="A136" s="13" t="s">
        <v>113</v>
      </c>
      <c r="B136" s="7">
        <f>AVERAGE(B71:B100)</f>
        <v>171.056661854034</v>
      </c>
    </row>
    <row r="137" spans="1:11">
      <c r="A137" s="14" t="s">
        <v>114</v>
      </c>
    </row>
    <row r="138" spans="1:11">
      <c r="A138" s="28" t="s">
        <v>115</v>
      </c>
      <c r="B138" s="28"/>
      <c r="C138" s="28"/>
      <c r="D138" s="28"/>
      <c r="E138" s="28"/>
      <c r="F138" s="28"/>
      <c r="G138" s="28"/>
      <c r="H138" s="28"/>
      <c r="I138" s="28"/>
    </row>
    <row r="139" spans="1:11">
      <c r="A139" s="28"/>
      <c r="B139" s="28"/>
      <c r="C139" s="28"/>
      <c r="D139" s="28"/>
      <c r="E139" s="28"/>
      <c r="F139" s="28"/>
      <c r="G139" s="28"/>
      <c r="H139" s="28"/>
      <c r="I139" s="28"/>
    </row>
    <row r="140" spans="1:11">
      <c r="A140" s="28"/>
      <c r="B140" s="28"/>
      <c r="C140" s="28"/>
      <c r="D140" s="28"/>
      <c r="E140" s="28"/>
      <c r="F140" s="28"/>
      <c r="G140" s="28"/>
      <c r="H140" s="28"/>
      <c r="I140" s="28"/>
    </row>
    <row r="141" spans="1:11">
      <c r="A141" s="28"/>
      <c r="B141" s="28"/>
      <c r="C141" s="28"/>
      <c r="D141" s="28"/>
      <c r="E141" s="28"/>
      <c r="F141" s="28"/>
      <c r="G141" s="28"/>
      <c r="H141" s="28"/>
      <c r="I141" s="28"/>
    </row>
    <row r="142" spans="1:11">
      <c r="A142" s="28"/>
      <c r="B142" s="28"/>
      <c r="C142" s="28"/>
      <c r="D142" s="28"/>
      <c r="E142" s="28"/>
      <c r="F142" s="28"/>
      <c r="G142" s="28"/>
      <c r="H142" s="28"/>
      <c r="I142" s="28"/>
    </row>
    <row r="144" spans="1:11">
      <c r="A144" s="17" t="s">
        <v>116</v>
      </c>
      <c r="B144" s="25"/>
      <c r="C144" s="25"/>
      <c r="D144" s="25"/>
      <c r="E144" s="25"/>
      <c r="F144" s="25"/>
      <c r="G144" s="25"/>
      <c r="H144" s="25"/>
      <c r="I144" s="25"/>
      <c r="J144" s="25"/>
      <c r="K144" s="26"/>
    </row>
    <row r="145" spans="1:11">
      <c r="A145" s="27" t="s">
        <v>110</v>
      </c>
      <c r="B145" s="25"/>
      <c r="C145" s="25"/>
      <c r="D145" s="25"/>
      <c r="E145" s="25"/>
      <c r="F145" s="25"/>
      <c r="G145" s="25"/>
      <c r="H145" s="25"/>
      <c r="I145" s="25"/>
      <c r="J145" s="25"/>
      <c r="K145" s="26"/>
    </row>
    <row r="146" spans="1:11">
      <c r="A146" s="23" t="s">
        <v>111</v>
      </c>
      <c r="B146" s="7">
        <f>B124</f>
        <v>5.73186845502305</v>
      </c>
      <c r="C146" s="7">
        <f>B146+$B$126</f>
        <v>86.731868455023</v>
      </c>
      <c r="D146" s="7">
        <f t="shared" ref="D146:K146" si="6">C146+$B$126</f>
        <v>167.731868455023</v>
      </c>
      <c r="E146" s="7">
        <f t="shared" si="6"/>
        <v>248.731868455023</v>
      </c>
      <c r="F146" s="7">
        <f t="shared" si="6"/>
        <v>329.731868455023</v>
      </c>
      <c r="G146" s="7">
        <f t="shared" si="6"/>
        <v>410.731868455023</v>
      </c>
      <c r="H146" s="7">
        <f t="shared" si="6"/>
        <v>491.731868455023</v>
      </c>
      <c r="I146" s="7">
        <f t="shared" si="6"/>
        <v>572.731868455023</v>
      </c>
      <c r="J146" s="7">
        <f t="shared" si="6"/>
        <v>653.731868455023</v>
      </c>
      <c r="K146" s="7">
        <f t="shared" si="6"/>
        <v>734.731868455023</v>
      </c>
    </row>
    <row r="147" spans="1:11">
      <c r="A147" s="23" t="s">
        <v>112</v>
      </c>
      <c r="B147" s="29">
        <f>$B$111*B146</f>
        <v>4.96454895365652</v>
      </c>
      <c r="C147" s="29">
        <f t="shared" ref="C147" si="7">$B$111*C146</f>
        <v>75.1211599089861</v>
      </c>
      <c r="D147" s="29">
        <f t="shared" ref="D147" si="8">$B$111*D146</f>
        <v>145.277770864316</v>
      </c>
      <c r="E147" s="29">
        <f t="shared" ref="E147" si="9">$B$111*E146</f>
        <v>215.434381819645</v>
      </c>
      <c r="F147" s="29">
        <f t="shared" ref="F147" si="10">$B$111*F146</f>
        <v>285.590992774975</v>
      </c>
      <c r="G147" s="29">
        <f t="shared" ref="G147" si="11">$B$111*G146</f>
        <v>355.747603730304</v>
      </c>
      <c r="H147" s="29">
        <f t="shared" ref="H147" si="12">$B$111*H146</f>
        <v>425.904214685634</v>
      </c>
      <c r="I147" s="29">
        <f t="shared" ref="I147" si="13">$B$111*I146</f>
        <v>496.060825640963</v>
      </c>
      <c r="J147" s="29">
        <f t="shared" ref="J147" si="14">$B$111*J146</f>
        <v>566.217436596293</v>
      </c>
      <c r="K147" s="29">
        <f t="shared" ref="K147" si="15">$B$111*K146</f>
        <v>636.374047551622</v>
      </c>
    </row>
    <row r="149" spans="1:11">
      <c r="A149" s="13" t="s">
        <v>117</v>
      </c>
      <c r="B149" s="7">
        <f>MAX(B71:B100)</f>
        <v>406.622408182592</v>
      </c>
    </row>
    <row r="150" spans="1:11">
      <c r="A150" s="14" t="s">
        <v>118</v>
      </c>
    </row>
    <row r="152" customHeight="1" spans="1:11">
      <c r="A152" s="28" t="s">
        <v>119</v>
      </c>
      <c r="B152" s="28"/>
      <c r="C152" s="28"/>
      <c r="D152" s="28"/>
      <c r="E152" s="28"/>
      <c r="F152" s="28"/>
      <c r="G152" s="28"/>
      <c r="H152" s="28"/>
      <c r="I152" s="28"/>
    </row>
    <row r="153" spans="1:11">
      <c r="A153" s="28"/>
      <c r="B153" s="28"/>
      <c r="C153" s="28"/>
      <c r="D153" s="28"/>
      <c r="E153" s="28"/>
      <c r="F153" s="28"/>
      <c r="G153" s="28"/>
      <c r="H153" s="28"/>
      <c r="I153" s="28"/>
    </row>
    <row r="154" spans="1:11">
      <c r="A154" s="28"/>
      <c r="B154" s="28"/>
      <c r="C154" s="28"/>
      <c r="D154" s="28"/>
      <c r="E154" s="28"/>
      <c r="F154" s="28"/>
      <c r="G154" s="28"/>
      <c r="H154" s="28"/>
      <c r="I154" s="28"/>
    </row>
    <row r="155" spans="1:11">
      <c r="A155" s="28"/>
      <c r="B155" s="28"/>
      <c r="C155" s="28"/>
      <c r="D155" s="28"/>
      <c r="E155" s="28"/>
      <c r="F155" s="28"/>
      <c r="G155" s="28"/>
      <c r="H155" s="28"/>
      <c r="I155" s="28"/>
    </row>
    <row r="156" spans="1:11">
      <c r="A156" s="28"/>
      <c r="B156" s="28"/>
      <c r="C156" s="28"/>
      <c r="D156" s="28"/>
      <c r="E156" s="28"/>
      <c r="F156" s="28"/>
      <c r="G156" s="28"/>
      <c r="H156" s="28"/>
      <c r="I156" s="28"/>
    </row>
  </sheetData>
  <mergeCells count="19">
    <mergeCell ref="A33:F33"/>
    <mergeCell ref="A36:C36"/>
    <mergeCell ref="I36:K36"/>
    <mergeCell ref="A69:D69"/>
    <mergeCell ref="A105:E105"/>
    <mergeCell ref="A113:B113"/>
    <mergeCell ref="A114:B114"/>
    <mergeCell ref="A122:C122"/>
    <mergeCell ref="A131:K131"/>
    <mergeCell ref="A132:K132"/>
    <mergeCell ref="A144:K144"/>
    <mergeCell ref="A145:K145"/>
    <mergeCell ref="A126:A128"/>
    <mergeCell ref="B126:B128"/>
    <mergeCell ref="A152:I156"/>
    <mergeCell ref="A138:I142"/>
    <mergeCell ref="A107:C109"/>
    <mergeCell ref="A116:D119"/>
    <mergeCell ref="F116:I119"/>
  </mergeCells>
  <conditionalFormatting sqref="B134:K134">
    <cfRule type="cellIs" dxfId="2" priority="6" operator="lessThan">
      <formula>171.056</formula>
    </cfRule>
    <cfRule type="cellIs" dxfId="1" priority="8" operator="greaterThan">
      <formula>171.056</formula>
    </cfRule>
  </conditionalFormatting>
  <conditionalFormatting sqref="C134">
    <cfRule type="cellIs" dxfId="2" priority="7" operator="lessThan">
      <formula>171.056</formula>
    </cfRule>
  </conditionalFormatting>
  <conditionalFormatting sqref="B147:K147">
    <cfRule type="cellIs" dxfId="2" priority="1" operator="lessThan">
      <formula>406.622</formula>
    </cfRule>
    <cfRule type="cellIs" dxfId="1" priority="2" operator="greaterThan">
      <formula>406.622</formula>
    </cfRule>
    <cfRule type="cellIs" dxfId="2" priority="3" operator="lessThan">
      <formula>171.056</formula>
    </cfRule>
    <cfRule type="cellIs" dxfId="1" priority="5" operator="greaterThan">
      <formula>171.056</formula>
    </cfRule>
  </conditionalFormatting>
  <conditionalFormatting sqref="C147">
    <cfRule type="cellIs" dxfId="2" priority="4" operator="lessThan">
      <formula>171.056</formula>
    </cfRule>
  </conditionalFormatting>
  <pageMargins left="0.7" right="0.7" top="0.75" bottom="0.75" header="0.3" footer="0.3"/>
  <headerFooter/>
  <drawing r:id="rId1"/>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54"/>
  <sheetViews>
    <sheetView workbookViewId="0">
      <selection activeCell="D20" sqref="D20"/>
    </sheetView>
  </sheetViews>
  <sheetFormatPr defaultColWidth="9" defaultRowHeight="14.4"/>
  <cols>
    <col min="1" max="1" width="46.4444444444444" customWidth="1"/>
    <col min="2" max="2" width="33.1111111111111" customWidth="1"/>
    <col min="3" max="3" width="21" customWidth="1"/>
    <col min="4" max="4" width="22.6666666666667" customWidth="1"/>
    <col min="5" max="5" width="12" customWidth="1"/>
    <col min="6" max="6" width="20.6666666666667" customWidth="1"/>
    <col min="7" max="7" width="19.5555555555556" customWidth="1"/>
    <col min="8" max="8" width="13.8888888888889" customWidth="1"/>
    <col min="9" max="9" width="14.1111111111111" customWidth="1"/>
  </cols>
  <sheetData>
    <row r="1" spans="1:9">
      <c r="A1" t="s">
        <v>51</v>
      </c>
    </row>
    <row r="2" ht="15.15"/>
    <row r="3" spans="1:9">
      <c r="A3" s="1" t="s">
        <v>52</v>
      </c>
      <c r="B3" s="1"/>
    </row>
    <row r="4" spans="1:9">
      <c r="A4" s="2" t="s">
        <v>53</v>
      </c>
      <c r="B4" s="2">
        <v>0.985135784704481</v>
      </c>
    </row>
    <row r="5" spans="1:9">
      <c r="A5" s="2" t="s">
        <v>54</v>
      </c>
      <c r="B5" s="2">
        <v>0.970492514305313</v>
      </c>
    </row>
    <row r="6" spans="1:9">
      <c r="A6" s="2" t="s">
        <v>55</v>
      </c>
      <c r="B6" s="2">
        <v>0.936009755684623</v>
      </c>
    </row>
    <row r="7" spans="1:9">
      <c r="A7" s="2" t="s">
        <v>56</v>
      </c>
      <c r="B7" s="2">
        <v>40.608784356417</v>
      </c>
    </row>
    <row r="8" ht="15.15" spans="1:9">
      <c r="A8" s="3" t="s">
        <v>57</v>
      </c>
      <c r="B8" s="3">
        <v>30</v>
      </c>
    </row>
    <row r="10" ht="15.15" spans="1:9">
      <c r="A10" t="s">
        <v>58</v>
      </c>
    </row>
    <row r="11" spans="1:9">
      <c r="A11" s="4"/>
      <c r="B11" s="4" t="s">
        <v>59</v>
      </c>
      <c r="C11" s="4" t="s">
        <v>60</v>
      </c>
      <c r="D11" s="4" t="s">
        <v>61</v>
      </c>
      <c r="E11" s="4" t="s">
        <v>62</v>
      </c>
      <c r="F11" s="4" t="s">
        <v>63</v>
      </c>
    </row>
    <row r="12" spans="1:9">
      <c r="A12" s="2" t="s">
        <v>64</v>
      </c>
      <c r="B12" s="2">
        <v>1</v>
      </c>
      <c r="C12" s="2">
        <v>1572888.5837911</v>
      </c>
      <c r="D12" s="2">
        <v>1572888.5837911</v>
      </c>
      <c r="E12" s="2">
        <v>953.80145926569</v>
      </c>
      <c r="F12" s="2">
        <v>3.56635097372101e-23</v>
      </c>
    </row>
    <row r="13" spans="1:9">
      <c r="A13" s="2" t="s">
        <v>65</v>
      </c>
      <c r="B13" s="2">
        <v>29</v>
      </c>
      <c r="C13" s="2">
        <v>47823.1276402733</v>
      </c>
      <c r="D13" s="2">
        <v>1649.07336690598</v>
      </c>
      <c r="E13" s="2"/>
      <c r="F13" s="2"/>
    </row>
    <row r="14" ht="15.15" spans="1:9">
      <c r="A14" s="3" t="s">
        <v>66</v>
      </c>
      <c r="B14" s="3">
        <v>30</v>
      </c>
      <c r="C14" s="3">
        <v>1620711.71143138</v>
      </c>
      <c r="D14" s="3"/>
      <c r="E14" s="3"/>
      <c r="F14" s="3"/>
    </row>
    <row r="15" ht="15.15"/>
    <row r="16" spans="1:9">
      <c r="A16" s="4"/>
      <c r="B16" s="4" t="s">
        <v>67</v>
      </c>
      <c r="C16" s="4" t="s">
        <v>56</v>
      </c>
      <c r="D16" s="4" t="s">
        <v>68</v>
      </c>
      <c r="E16" s="4" t="s">
        <v>69</v>
      </c>
      <c r="F16" s="4" t="s">
        <v>70</v>
      </c>
      <c r="G16" s="4" t="s">
        <v>71</v>
      </c>
      <c r="H16" s="4" t="s">
        <v>72</v>
      </c>
      <c r="I16" s="4" t="s">
        <v>73</v>
      </c>
    </row>
    <row r="17" spans="1:9">
      <c r="A17" s="2" t="s">
        <v>74</v>
      </c>
      <c r="B17" s="2">
        <v>0</v>
      </c>
      <c r="C17" s="2" t="e">
        <v>#N/A</v>
      </c>
      <c r="D17" s="2" t="e">
        <v>#N/A</v>
      </c>
      <c r="E17" s="2" t="e">
        <v>#N/A</v>
      </c>
      <c r="F17" s="2" t="e">
        <v>#N/A</v>
      </c>
      <c r="G17" s="2" t="e">
        <v>#N/A</v>
      </c>
      <c r="H17" s="2" t="e">
        <v>#N/A</v>
      </c>
      <c r="I17" s="2" t="e">
        <v>#N/A</v>
      </c>
    </row>
    <row r="18" ht="15.15" spans="1:9">
      <c r="A18" s="3" t="s">
        <v>36</v>
      </c>
      <c r="B18" s="3">
        <v>0.866130999448513</v>
      </c>
      <c r="C18" s="3">
        <v>0.0280449449148203</v>
      </c>
      <c r="D18" s="3">
        <v>30.8836762589186</v>
      </c>
      <c r="E18" s="3">
        <v>9.70719551903094e-24</v>
      </c>
      <c r="F18" s="3">
        <v>0.808772646796744</v>
      </c>
      <c r="G18" s="3">
        <v>0.923489352100282</v>
      </c>
      <c r="H18" s="3">
        <v>0.808772646796744</v>
      </c>
      <c r="I18" s="3">
        <v>0.923489352100282</v>
      </c>
    </row>
    <row r="22" spans="1:9">
      <c r="A22" t="s">
        <v>75</v>
      </c>
      <c r="F22" t="s">
        <v>76</v>
      </c>
    </row>
    <row r="23" ht="15.15"/>
    <row r="24" spans="1:9">
      <c r="A24" s="4" t="s">
        <v>77</v>
      </c>
      <c r="B24" s="4" t="s">
        <v>78</v>
      </c>
      <c r="C24" s="4" t="s">
        <v>79</v>
      </c>
      <c r="D24" s="4" t="s">
        <v>80</v>
      </c>
      <c r="F24" s="4" t="s">
        <v>81</v>
      </c>
      <c r="G24" s="4" t="s">
        <v>34</v>
      </c>
    </row>
    <row r="25" spans="1:9">
      <c r="A25" s="2">
        <v>1</v>
      </c>
      <c r="B25" s="2">
        <v>424.574019337506</v>
      </c>
      <c r="C25" s="2">
        <v>-96.1426467884868</v>
      </c>
      <c r="D25" s="2">
        <v>-2.40800682519611</v>
      </c>
      <c r="F25" s="2">
        <v>1.66666666666667</v>
      </c>
      <c r="G25" s="2">
        <v>18.2461407410702</v>
      </c>
    </row>
    <row r="26" spans="1:9">
      <c r="A26" s="2">
        <v>2</v>
      </c>
      <c r="B26" s="2">
        <v>420.451941479861</v>
      </c>
      <c r="C26" s="2">
        <v>-100.634694192596</v>
      </c>
      <c r="D26" s="2">
        <v>-2.52051548986807</v>
      </c>
      <c r="F26" s="2">
        <v>5</v>
      </c>
      <c r="G26" s="2">
        <v>18.9649281035972</v>
      </c>
    </row>
    <row r="27" spans="1:9">
      <c r="A27" s="2">
        <v>3</v>
      </c>
      <c r="B27" s="2">
        <v>411.399535204247</v>
      </c>
      <c r="C27" s="2">
        <v>-49.3281884854716</v>
      </c>
      <c r="D27" s="2">
        <v>-1.23548309221086</v>
      </c>
      <c r="F27" s="2">
        <v>8.33333333333333</v>
      </c>
      <c r="G27" s="2">
        <v>19.3210043047259</v>
      </c>
    </row>
    <row r="28" spans="1:9">
      <c r="A28" s="2">
        <v>4</v>
      </c>
      <c r="B28" s="2">
        <v>400.239460159791</v>
      </c>
      <c r="C28" s="2">
        <v>-23.3809014219702</v>
      </c>
      <c r="D28" s="2">
        <v>-0.585602457223841</v>
      </c>
      <c r="F28" s="2">
        <v>11.6666666666667</v>
      </c>
      <c r="G28" s="2">
        <v>19.3720238317181</v>
      </c>
    </row>
    <row r="29" spans="1:9">
      <c r="A29" s="2">
        <v>5</v>
      </c>
      <c r="B29" s="2">
        <v>392.354640933342</v>
      </c>
      <c r="C29" s="2">
        <v>-0.338109652668493</v>
      </c>
      <c r="D29" s="2">
        <v>-0.00846835799186584</v>
      </c>
      <c r="F29" s="2">
        <v>15</v>
      </c>
      <c r="G29" s="2">
        <v>19.4860378831621</v>
      </c>
    </row>
    <row r="30" spans="1:9">
      <c r="A30" s="2">
        <v>6</v>
      </c>
      <c r="B30" s="2">
        <v>380.194284250195</v>
      </c>
      <c r="C30" s="2">
        <v>0.404289808711212</v>
      </c>
      <c r="D30" s="2">
        <v>0.0101259186350007</v>
      </c>
      <c r="F30" s="2">
        <v>18.3333333333333</v>
      </c>
      <c r="G30" s="2">
        <v>19.6549859775747</v>
      </c>
    </row>
    <row r="31" spans="1:9">
      <c r="A31" s="2">
        <v>7</v>
      </c>
      <c r="B31" s="2">
        <v>369.797686437217</v>
      </c>
      <c r="C31" s="2">
        <v>36.8247217453749</v>
      </c>
      <c r="D31" s="2">
        <v>0.922318911126848</v>
      </c>
      <c r="F31" s="2">
        <v>21.6666666666667</v>
      </c>
      <c r="G31" s="2">
        <v>20.5920260067381</v>
      </c>
    </row>
    <row r="32" spans="1:9">
      <c r="A32" s="2">
        <v>8</v>
      </c>
      <c r="B32" s="2">
        <v>352.859107602678</v>
      </c>
      <c r="C32" s="2">
        <v>49.8907062162704</v>
      </c>
      <c r="D32" s="2">
        <v>1.24957201716044</v>
      </c>
      <c r="F32" s="2">
        <v>25</v>
      </c>
      <c r="G32" s="2">
        <v>21.6991502285121</v>
      </c>
    </row>
    <row r="33" spans="1:7">
      <c r="A33" s="2">
        <v>9</v>
      </c>
      <c r="B33" s="2">
        <v>332.28266058317</v>
      </c>
      <c r="C33" s="2">
        <v>65.8345169876819</v>
      </c>
      <c r="D33" s="2">
        <v>1.64890370231425</v>
      </c>
      <c r="F33" s="2">
        <v>28.3333333333333</v>
      </c>
      <c r="G33" s="2">
        <v>23.2964131210724</v>
      </c>
    </row>
    <row r="34" spans="1:7">
      <c r="A34" s="2">
        <v>10</v>
      </c>
      <c r="B34" s="2">
        <v>287.351357422552</v>
      </c>
      <c r="C34" s="2">
        <v>74.5733494600399</v>
      </c>
      <c r="D34" s="2">
        <v>1.86777814503662</v>
      </c>
      <c r="F34" s="2">
        <v>31.6666666666667</v>
      </c>
      <c r="G34" s="2">
        <v>24.0119458097911</v>
      </c>
    </row>
    <row r="35" spans="1:7">
      <c r="A35" s="2">
        <v>11</v>
      </c>
      <c r="B35" s="2">
        <v>238.240398153971</v>
      </c>
      <c r="C35" s="2">
        <v>53.7121987313205</v>
      </c>
      <c r="D35" s="2">
        <v>1.34528583788478</v>
      </c>
      <c r="F35" s="2">
        <v>35</v>
      </c>
      <c r="G35" s="2">
        <v>26.90569312533</v>
      </c>
    </row>
    <row r="36" spans="1:7">
      <c r="A36" s="2">
        <v>12</v>
      </c>
      <c r="B36" s="2">
        <v>182.859954723442</v>
      </c>
      <c r="C36" s="2">
        <v>50.8830851382318</v>
      </c>
      <c r="D36" s="2">
        <v>1.27442732640235</v>
      </c>
      <c r="F36" s="2">
        <v>38.3333333333333</v>
      </c>
      <c r="G36" s="2">
        <v>32.1770848442269</v>
      </c>
    </row>
    <row r="37" spans="1:7">
      <c r="A37" s="2">
        <v>13</v>
      </c>
      <c r="B37" s="2">
        <v>137.293391330507</v>
      </c>
      <c r="C37" s="2">
        <v>42.6407669207821</v>
      </c>
      <c r="D37" s="2">
        <v>1.06798867315078</v>
      </c>
      <c r="F37" s="2">
        <v>41.6666666666667</v>
      </c>
      <c r="G37" s="2">
        <v>40.7374851343286</v>
      </c>
    </row>
    <row r="38" spans="1:7">
      <c r="A38" s="2">
        <v>14</v>
      </c>
      <c r="B38" s="2">
        <v>101.698808392968</v>
      </c>
      <c r="C38" s="2">
        <v>36.8748231820987</v>
      </c>
      <c r="D38" s="2">
        <v>0.92357376113996</v>
      </c>
      <c r="F38" s="2">
        <v>45</v>
      </c>
      <c r="G38" s="2">
        <v>59.454096359934</v>
      </c>
    </row>
    <row r="39" spans="1:7">
      <c r="A39" s="2">
        <v>15</v>
      </c>
      <c r="B39" s="2">
        <v>77.7386468742315</v>
      </c>
      <c r="C39" s="2">
        <v>32.8509966450791</v>
      </c>
      <c r="D39" s="2">
        <v>0.822792244422773</v>
      </c>
      <c r="F39" s="2">
        <v>48.3333333333333</v>
      </c>
      <c r="G39" s="2">
        <v>83.7800329691747</v>
      </c>
    </row>
    <row r="40" spans="1:7">
      <c r="A40" s="2">
        <v>16</v>
      </c>
      <c r="B40" s="2">
        <v>58.8929142986602</v>
      </c>
      <c r="C40" s="2">
        <v>24.8871186705144</v>
      </c>
      <c r="D40" s="2">
        <v>0.62332745789604</v>
      </c>
      <c r="F40" s="2">
        <v>51.6666666666667</v>
      </c>
      <c r="G40" s="2">
        <v>110.589643519311</v>
      </c>
    </row>
    <row r="41" spans="1:7">
      <c r="A41" s="2">
        <v>17</v>
      </c>
      <c r="B41" s="2">
        <v>40.7608594037525</v>
      </c>
      <c r="C41" s="2">
        <v>18.6932369561815</v>
      </c>
      <c r="D41" s="2">
        <v>0.468194330810577</v>
      </c>
      <c r="F41" s="2">
        <v>55</v>
      </c>
      <c r="G41" s="2">
        <v>138.573631575067</v>
      </c>
    </row>
    <row r="42" spans="1:7">
      <c r="A42" s="2">
        <v>18</v>
      </c>
      <c r="B42" s="2">
        <v>28.4232211866121</v>
      </c>
      <c r="C42" s="2">
        <v>12.3142639477165</v>
      </c>
      <c r="D42" s="2">
        <v>0.308425372338707</v>
      </c>
      <c r="F42" s="2">
        <v>58.3333333333333</v>
      </c>
      <c r="G42" s="2">
        <v>179.934158251289</v>
      </c>
    </row>
    <row r="43" spans="1:7">
      <c r="A43" s="2">
        <v>19</v>
      </c>
      <c r="B43" s="2">
        <v>21.7345242292993</v>
      </c>
      <c r="C43" s="2">
        <v>10.4425606149276</v>
      </c>
      <c r="D43" s="2">
        <v>0.26154633841723</v>
      </c>
      <c r="F43" s="2">
        <v>61.6666666666667</v>
      </c>
      <c r="G43" s="2">
        <v>233.743039861674</v>
      </c>
    </row>
    <row r="44" spans="1:7">
      <c r="A44" s="2">
        <v>20</v>
      </c>
      <c r="B44" s="2">
        <v>17.8458467614517</v>
      </c>
      <c r="C44" s="2">
        <v>9.05984636387831</v>
      </c>
      <c r="D44" s="2">
        <v>0.22691461706315</v>
      </c>
      <c r="F44" s="2">
        <v>65</v>
      </c>
      <c r="G44" s="2">
        <v>291.952596885291</v>
      </c>
    </row>
    <row r="45" spans="1:7">
      <c r="A45" s="2">
        <v>21</v>
      </c>
      <c r="B45" s="2">
        <v>15.5981179672034</v>
      </c>
      <c r="C45" s="2">
        <v>8.41382784258767</v>
      </c>
      <c r="D45" s="2">
        <v>0.210734315600332</v>
      </c>
      <c r="F45" s="2">
        <v>68.3333333333333</v>
      </c>
      <c r="G45" s="2">
        <v>319.817247287264</v>
      </c>
    </row>
    <row r="46" spans="1:7">
      <c r="A46" s="2">
        <v>22</v>
      </c>
      <c r="B46" s="2">
        <v>14.1724641574652</v>
      </c>
      <c r="C46" s="2">
        <v>9.12394896360725</v>
      </c>
      <c r="D46" s="2">
        <v>0.22852014283986</v>
      </c>
      <c r="F46" s="2">
        <v>71.6666666666667</v>
      </c>
      <c r="G46" s="2">
        <v>328.43137254902</v>
      </c>
    </row>
    <row r="47" spans="1:7">
      <c r="A47" s="2">
        <v>23</v>
      </c>
      <c r="B47" s="2">
        <v>13.3673116111685</v>
      </c>
      <c r="C47" s="2">
        <v>8.33183861734362</v>
      </c>
      <c r="D47" s="2">
        <v>0.208680798034765</v>
      </c>
      <c r="F47" s="2">
        <v>75</v>
      </c>
      <c r="G47" s="2">
        <v>361.924706882592</v>
      </c>
    </row>
    <row r="48" spans="1:7">
      <c r="A48" s="2">
        <v>24</v>
      </c>
      <c r="B48" s="2">
        <v>12.8414822874378</v>
      </c>
      <c r="C48" s="2">
        <v>7.75054371930029</v>
      </c>
      <c r="D48" s="2">
        <v>0.194121576620573</v>
      </c>
      <c r="F48" s="2">
        <v>78.3333333333333</v>
      </c>
      <c r="G48" s="2">
        <v>362.071346718775</v>
      </c>
    </row>
    <row r="49" spans="1:7">
      <c r="A49" s="2">
        <v>25</v>
      </c>
      <c r="B49" s="2">
        <v>12.0750157160825</v>
      </c>
      <c r="C49" s="2">
        <v>7.57997026149212</v>
      </c>
      <c r="D49" s="2">
        <v>0.189849361694943</v>
      </c>
      <c r="F49" s="2">
        <v>81.6666666666667</v>
      </c>
      <c r="G49" s="2">
        <v>376.858558737821</v>
      </c>
    </row>
    <row r="50" spans="1:7">
      <c r="A50" s="2">
        <v>26</v>
      </c>
      <c r="B50" s="2">
        <v>11.5188674512513</v>
      </c>
      <c r="C50" s="2">
        <v>7.85315638046684</v>
      </c>
      <c r="D50" s="2">
        <v>0.196691632643518</v>
      </c>
      <c r="F50" s="2">
        <v>85</v>
      </c>
      <c r="G50" s="2">
        <v>380.598574058906</v>
      </c>
    </row>
    <row r="51" spans="1:7">
      <c r="A51" s="2">
        <v>27</v>
      </c>
      <c r="B51" s="2">
        <v>11.0421689385387</v>
      </c>
      <c r="C51" s="2">
        <v>8.4438689446234</v>
      </c>
      <c r="D51" s="2">
        <v>0.211486730695556</v>
      </c>
      <c r="F51" s="2">
        <v>88.3333333333333</v>
      </c>
      <c r="G51" s="2">
        <v>392.016531280674</v>
      </c>
    </row>
    <row r="52" spans="1:7">
      <c r="A52" s="2">
        <v>28</v>
      </c>
      <c r="B52" s="2">
        <v>10.8077113298508</v>
      </c>
      <c r="C52" s="2">
        <v>8.51329297487509</v>
      </c>
      <c r="D52" s="2">
        <v>0.213225538022615</v>
      </c>
      <c r="F52" s="2">
        <v>91.6666666666667</v>
      </c>
      <c r="G52" s="2">
        <v>398.117177570851</v>
      </c>
    </row>
    <row r="53" spans="1:7">
      <c r="A53" s="2">
        <v>29</v>
      </c>
      <c r="B53" s="2">
        <v>10.4087914637676</v>
      </c>
      <c r="C53" s="2">
        <v>8.55613663982953</v>
      </c>
      <c r="D53" s="2">
        <v>0.214298608518101</v>
      </c>
      <c r="F53" s="2">
        <v>95</v>
      </c>
      <c r="G53" s="2">
        <v>402.749813818949</v>
      </c>
    </row>
    <row r="54" ht="15.15" spans="1:7">
      <c r="A54" s="3">
        <v>30</v>
      </c>
      <c r="B54" s="3">
        <v>9.92909790731304</v>
      </c>
      <c r="C54" s="3">
        <v>8.31704283375712</v>
      </c>
      <c r="D54" s="3">
        <v>0.20831022005454</v>
      </c>
      <c r="F54" s="3">
        <v>98.3333333333333</v>
      </c>
      <c r="G54" s="3">
        <v>406.622408182592</v>
      </c>
    </row>
  </sheetData>
  <sortState ref="G25:G54">
    <sortCondition ref="G25"/>
  </sortState>
  <pageMargins left="0.7" right="0.7" top="0.75" bottom="0.75" header="0.3" footer="0.3"/>
  <headerFooter/>
  <drawing r:id="rId1"/>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20</vt:i4>
      </vt:variant>
    </vt:vector>
  </HeadingPairs>
  <TitlesOfParts>
    <vt:vector size="20" baseType="lpstr">
      <vt:lpstr>О проекте</vt:lpstr>
      <vt:lpstr>Постановка задачи</vt:lpstr>
      <vt:lpstr>Выводы</vt:lpstr>
      <vt:lpstr>Исходные Данные 1</vt:lpstr>
      <vt:lpstr>Исходные данные 2</vt:lpstr>
      <vt:lpstr>Анализ данных 2</vt:lpstr>
      <vt:lpstr>Исходные данные 3</vt:lpstr>
      <vt:lpstr>Анализ данных 3</vt:lpstr>
      <vt:lpstr>Исходные данные 4</vt:lpstr>
      <vt:lpstr>Анализ данных 4</vt:lpstr>
      <vt:lpstr>Исходные данные 5</vt:lpstr>
      <vt:lpstr>Анализ данных 5</vt:lpstr>
      <vt:lpstr>Исходные данные 6</vt:lpstr>
      <vt:lpstr>Анализ данных 6</vt:lpstr>
      <vt:lpstr>Исходные данные 7</vt:lpstr>
      <vt:lpstr>Анализ данных 7</vt:lpstr>
      <vt:lpstr>Исходные данные 8</vt:lpstr>
      <vt:lpstr>Анализ данных 8</vt:lpstr>
      <vt:lpstr>Исходные данные 9</vt:lpstr>
      <vt:lpstr>Анализ данных 9</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Максим Беленьки�</cp:lastModifiedBy>
  <dcterms:created xsi:type="dcterms:W3CDTF">2025-07-21T09:59:00Z</dcterms:created>
  <dcterms:modified xsi:type="dcterms:W3CDTF">2026-03-30T22:19:07Z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7F239BFAC640459F994247AAEA4D76C7_12</vt:lpwstr>
  </property>
  <property fmtid="{D5CDD505-2E9C-101B-9397-08002B2CF9AE}" pid="3" name="KSOProductBuildVer">
    <vt:lpwstr>1049-12.1.0.25242</vt:lpwstr>
  </property>
  <property fmtid="{D5CDD505-2E9C-101B-9397-08002B2CF9AE}" pid="4" name="CalculationRule">
    <vt:i4>0</vt:i4>
  </property>
</Properties>
</file>